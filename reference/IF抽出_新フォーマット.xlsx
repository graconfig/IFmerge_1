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6F97559D-CBA4-4A03-9D06-1D59343D1CB1}" xr6:coauthVersionLast="47" xr6:coauthVersionMax="47" xr10:uidLastSave="{00000000-0000-0000-0000-000000000000}"/>
  <bookViews>
    <workbookView xWindow="-120" yWindow="-120" windowWidth="29040" windowHeight="15720" activeTab="3" xr2:uid="{C8CF64CB-076A-401B-AD46-F1FAB7D7A066}"/>
  </bookViews>
  <sheets>
    <sheet name="表紙" sheetId="29" r:id="rId1"/>
    <sheet name="改訂履歴" sheetId="12" r:id="rId2"/>
    <sheet name="対象IF" sheetId="28" r:id="rId3"/>
    <sheet name="IFマッピング定義" sheetId="18" r:id="rId4"/>
    <sheet name="変換仕様" sheetId="16" r:id="rId5"/>
    <sheet name="リスト" sheetId="27" r:id="rId6"/>
  </sheets>
  <definedNames>
    <definedName name="_xlnm._FilterDatabase" localSheetId="3" hidden="1">IFマッピング定義!$B$4:$AE$26</definedName>
    <definedName name="_xlnm._FilterDatabase" localSheetId="2" hidden="1">対象IF!$B$5:$J$5</definedName>
    <definedName name="_xlnm._FilterDatabase" localSheetId="1">改訂履歴!$A$1:$I$1</definedName>
    <definedName name="_xlnm.Print_Area" localSheetId="3">IFマッピング定義!$A$2:$O$13</definedName>
    <definedName name="_xlnm.Print_Area" localSheetId="0">表紙!$B$1:$R$294</definedName>
    <definedName name="_xlnm.Print_Area" localSheetId="2">対象IF!$A$5:$M$6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8" l="1"/>
  <c r="B22" i="18"/>
  <c r="B21" i="18"/>
  <c r="B20" i="18"/>
  <c r="B19" i="18"/>
  <c r="B18" i="18"/>
  <c r="B17" i="18"/>
  <c r="B16" i="18"/>
  <c r="B15" i="18"/>
  <c r="B14" i="18"/>
  <c r="B11" i="18"/>
  <c r="B10" i="18"/>
  <c r="B12" i="18"/>
  <c r="B6" i="18" l="1"/>
  <c r="B7" i="18"/>
  <c r="B8" i="18"/>
  <c r="B9" i="18"/>
  <c r="B13" i="18"/>
  <c r="B5" i="18"/>
  <c r="H23" i="29"/>
  <c r="E23" i="29"/>
  <c r="C31" i="16"/>
  <c r="D31" i="16"/>
  <c r="C32" i="16"/>
  <c r="D32" i="16"/>
  <c r="C33" i="16"/>
  <c r="D33" i="16"/>
  <c r="C34" i="16"/>
  <c r="D34" i="16"/>
  <c r="C35" i="16"/>
  <c r="D35" i="16"/>
  <c r="C36" i="16"/>
  <c r="D36" i="16"/>
  <c r="C37" i="16"/>
  <c r="D37" i="16"/>
  <c r="C38" i="16"/>
  <c r="D38" i="16"/>
  <c r="C39" i="16"/>
  <c r="D39" i="16"/>
  <c r="C40" i="16"/>
  <c r="D40" i="16"/>
  <c r="C41" i="16"/>
  <c r="D41" i="16"/>
  <c r="C42" i="16"/>
  <c r="D42" i="16"/>
  <c r="C43" i="16"/>
  <c r="D43" i="16"/>
  <c r="C44" i="16"/>
  <c r="D44" i="16"/>
  <c r="C45" i="16"/>
  <c r="D45" i="16"/>
  <c r="C46" i="16"/>
  <c r="D46" i="16"/>
  <c r="C47" i="16"/>
  <c r="D47" i="16"/>
  <c r="C48" i="16"/>
  <c r="D48" i="16"/>
  <c r="C49" i="16"/>
  <c r="D49" i="16"/>
  <c r="C50" i="16"/>
  <c r="D50" i="16"/>
  <c r="C51" i="16"/>
  <c r="D51" i="16"/>
  <c r="C52" i="16"/>
  <c r="D52" i="16"/>
  <c r="C22" i="16"/>
  <c r="D22" i="16"/>
  <c r="C23" i="16"/>
  <c r="D23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15" i="16"/>
  <c r="D15" i="16"/>
  <c r="C16" i="16"/>
  <c r="D16" i="16"/>
  <c r="C17" i="16"/>
  <c r="D17" i="16"/>
  <c r="C18" i="16"/>
  <c r="D18" i="16"/>
  <c r="C19" i="16"/>
  <c r="D19" i="16"/>
  <c r="C20" i="16"/>
  <c r="D20" i="16"/>
  <c r="C21" i="16"/>
  <c r="D21" i="16"/>
  <c r="D4" i="16" l="1"/>
  <c r="D5" i="16"/>
  <c r="D6" i="16"/>
  <c r="D7" i="16"/>
  <c r="D8" i="16"/>
  <c r="D9" i="16"/>
  <c r="D10" i="16"/>
  <c r="D11" i="16"/>
  <c r="D12" i="16"/>
  <c r="D13" i="16"/>
  <c r="D14" i="16"/>
  <c r="D3" i="16"/>
  <c r="C3" i="16"/>
  <c r="C4" i="16"/>
  <c r="C5" i="16"/>
  <c r="C6" i="16"/>
  <c r="C7" i="16"/>
  <c r="C8" i="16"/>
  <c r="C9" i="16"/>
  <c r="C10" i="16"/>
  <c r="C11" i="16"/>
  <c r="C12" i="16"/>
  <c r="C13" i="16"/>
  <c r="C14" i="16"/>
</calcChain>
</file>

<file path=xl/sharedStrings.xml><?xml version="1.0" encoding="utf-8"?>
<sst xmlns="http://schemas.openxmlformats.org/spreadsheetml/2006/main" count="340" uniqueCount="171">
  <si>
    <t>IFマッピング定義書</t>
    <rPh sb="7" eb="10">
      <t>テイギショ</t>
    </rPh>
    <phoneticPr fontId="6"/>
  </si>
  <si>
    <t>バージョン</t>
    <phoneticPr fontId="1"/>
  </si>
  <si>
    <t>最終更新日</t>
    <rPh sb="0" eb="2">
      <t>サイシュウ</t>
    </rPh>
    <rPh sb="2" eb="5">
      <t>コウシンビ</t>
    </rPh>
    <phoneticPr fontId="1"/>
  </si>
  <si>
    <t>No</t>
    <phoneticPr fontId="1"/>
  </si>
  <si>
    <t>バージョン</t>
  </si>
  <si>
    <t>変更管理＃</t>
  </si>
  <si>
    <t>変更理由/内容</t>
  </si>
  <si>
    <t>変更シート</t>
  </si>
  <si>
    <t>作成/変更者</t>
  </si>
  <si>
    <t>変更日</t>
  </si>
  <si>
    <t>承認者</t>
  </si>
  <si>
    <t>承認日</t>
  </si>
  <si>
    <t>-</t>
    <phoneticPr fontId="1"/>
  </si>
  <si>
    <t>新規作成</t>
    <rPh sb="0" eb="4">
      <t>シンキサクセイ</t>
    </rPh>
    <phoneticPr fontId="1"/>
  </si>
  <si>
    <t>会社名</t>
    <rPh sb="0" eb="3">
      <t>カイシャメイ</t>
    </rPh>
    <phoneticPr fontId="1"/>
  </si>
  <si>
    <t>プロジェクト名</t>
    <rPh sb="6" eb="7">
      <t>メイ</t>
    </rPh>
    <phoneticPr fontId="1"/>
  </si>
  <si>
    <t>1. 共通</t>
    <rPh sb="3" eb="5">
      <t>キョウツウ</t>
    </rPh>
    <phoneticPr fontId="1"/>
  </si>
  <si>
    <t>e</t>
  </si>
  <si>
    <t>IF-ID</t>
    <phoneticPr fontId="1"/>
  </si>
  <si>
    <t>IF名称</t>
    <rPh sb="2" eb="4">
      <t>メイショウ</t>
    </rPh>
    <phoneticPr fontId="1"/>
  </si>
  <si>
    <t>領域</t>
    <rPh sb="0" eb="2">
      <t>リョウイキ</t>
    </rPh>
    <phoneticPr fontId="1"/>
  </si>
  <si>
    <t>通番</t>
    <rPh sb="0" eb="2">
      <t>ツウバン</t>
    </rPh>
    <phoneticPr fontId="1"/>
  </si>
  <si>
    <t>送信システム(From)</t>
    <rPh sb="0" eb="2">
      <t>ソウシン</t>
    </rPh>
    <phoneticPr fontId="1"/>
  </si>
  <si>
    <t>受信システム(To)</t>
    <rPh sb="0" eb="2">
      <t>ジュシン</t>
    </rPh>
    <phoneticPr fontId="1"/>
  </si>
  <si>
    <t>IF基盤
使用有無</t>
    <rPh sb="2" eb="4">
      <t>キバン</t>
    </rPh>
    <rPh sb="5" eb="9">
      <t>シヨウウム</t>
    </rPh>
    <phoneticPr fontId="1"/>
  </si>
  <si>
    <t>連携パターン</t>
    <rPh sb="0" eb="2">
      <t>レンケイ</t>
    </rPh>
    <phoneticPr fontId="1"/>
  </si>
  <si>
    <t>備考</t>
    <rPh sb="0" eb="2">
      <t>ビコウ</t>
    </rPh>
    <phoneticPr fontId="1"/>
  </si>
  <si>
    <t>別途採番予定</t>
    <rPh sb="0" eb="6">
      <t>ベットサイバンヨテイ</t>
    </rPh>
    <phoneticPr fontId="1"/>
  </si>
  <si>
    <t>財務会計</t>
  </si>
  <si>
    <t>BtoB</t>
    <phoneticPr fontId="1"/>
  </si>
  <si>
    <t>e</t>
    <phoneticPr fontId="1"/>
  </si>
  <si>
    <t>1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</si>
  <si>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</si>
  <si>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</si>
  <si>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</si>
  <si>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</si>
  <si>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</si>
  <si>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</si>
  <si>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</si>
  <si>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</si>
  <si>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</si>
  <si>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</si>
  <si>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</si>
  <si>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  <phoneticPr fontId="1"/>
  </si>
  <si>
    <t>14</t>
    <phoneticPr fontId="1"/>
  </si>
  <si>
    <t>15</t>
    <phoneticPr fontId="1"/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</si>
  <si>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</si>
  <si>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</si>
  <si>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</si>
  <si>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</si>
  <si>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</si>
  <si>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</si>
  <si>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</si>
  <si>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</si>
  <si>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</si>
  <si>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</si>
  <si>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No.</t>
    <phoneticPr fontId="1"/>
  </si>
  <si>
    <t>2. 送信システム(From)</t>
    <rPh sb="3" eb="5">
      <t>ソウシン</t>
    </rPh>
    <phoneticPr fontId="1"/>
  </si>
  <si>
    <t>3. 変換</t>
    <rPh sb="3" eb="5">
      <t>ヘンカン</t>
    </rPh>
    <phoneticPr fontId="1"/>
  </si>
  <si>
    <t>4. 受信システム(To)</t>
    <rPh sb="3" eb="5">
      <t>ジュシン</t>
    </rPh>
    <phoneticPr fontId="1"/>
  </si>
  <si>
    <t>項目名</t>
    <rPh sb="0" eb="2">
      <t>コウモク</t>
    </rPh>
    <rPh sb="2" eb="3">
      <t>メイ</t>
    </rPh>
    <phoneticPr fontId="1"/>
  </si>
  <si>
    <t>標準/追加開発</t>
    <rPh sb="0" eb="2">
      <t>ヒョウジュン</t>
    </rPh>
    <rPh sb="3" eb="5">
      <t>ツイカ</t>
    </rPh>
    <rPh sb="5" eb="7">
      <t>カイハツ</t>
    </rPh>
    <phoneticPr fontId="1"/>
  </si>
  <si>
    <t>キー</t>
    <phoneticPr fontId="1"/>
  </si>
  <si>
    <t>必須/任意</t>
    <rPh sb="0" eb="2">
      <t>ヒッス</t>
    </rPh>
    <rPh sb="3" eb="5">
      <t>ニンイ</t>
    </rPh>
    <phoneticPr fontId="1"/>
  </si>
  <si>
    <t>テーブルID</t>
    <phoneticPr fontId="1"/>
  </si>
  <si>
    <t>項目ID</t>
    <rPh sb="0" eb="2">
      <t>コウモク</t>
    </rPh>
    <phoneticPr fontId="1"/>
  </si>
  <si>
    <t>データ型</t>
    <rPh sb="3" eb="4">
      <t>ガタ</t>
    </rPh>
    <phoneticPr fontId="1"/>
  </si>
  <si>
    <t>桁数
(全体)</t>
    <rPh sb="0" eb="2">
      <t>ケタスウ</t>
    </rPh>
    <rPh sb="4" eb="6">
      <t>ゼンタイ</t>
    </rPh>
    <phoneticPr fontId="1"/>
  </si>
  <si>
    <t>桁数
(小数点以下)</t>
    <rPh sb="0" eb="2">
      <t>ケタスウ</t>
    </rPh>
    <rPh sb="4" eb="7">
      <t>ショウスウテン</t>
    </rPh>
    <rPh sb="7" eb="9">
      <t>イカ</t>
    </rPh>
    <phoneticPr fontId="1"/>
  </si>
  <si>
    <t>項目説明</t>
    <rPh sb="0" eb="4">
      <t>コウモクセツメイ</t>
    </rPh>
    <phoneticPr fontId="1"/>
  </si>
  <si>
    <t>サンプル値
(表示形式込み)</t>
    <rPh sb="4" eb="5">
      <t>アタイ</t>
    </rPh>
    <rPh sb="7" eb="11">
      <t>ヒョウジケイシキ</t>
    </rPh>
    <rPh sb="11" eb="12">
      <t>コ</t>
    </rPh>
    <phoneticPr fontId="1"/>
  </si>
  <si>
    <t>変換要否</t>
    <rPh sb="0" eb="4">
      <t>ヘンカンヨウヒ</t>
    </rPh>
    <phoneticPr fontId="1"/>
  </si>
  <si>
    <t>変換No.</t>
    <rPh sb="0" eb="2">
      <t>ヘンカン</t>
    </rPh>
    <phoneticPr fontId="1"/>
  </si>
  <si>
    <t>標準/追加開発</t>
    <rPh sb="0" eb="2">
      <t>ヒョウジュン</t>
    </rPh>
    <rPh sb="3" eb="7">
      <t>ツイカカイハツ</t>
    </rPh>
    <phoneticPr fontId="1"/>
  </si>
  <si>
    <t>キー</t>
  </si>
  <si>
    <t>テーブルID</t>
  </si>
  <si>
    <t>●</t>
    <phoneticPr fontId="1"/>
  </si>
  <si>
    <t>送信側項目名</t>
    <rPh sb="0" eb="2">
      <t>ソウシン</t>
    </rPh>
    <rPh sb="2" eb="3">
      <t>ガワ</t>
    </rPh>
    <rPh sb="3" eb="6">
      <t>コウモクメイ</t>
    </rPh>
    <phoneticPr fontId="1"/>
  </si>
  <si>
    <t>受信側項目名</t>
    <rPh sb="0" eb="3">
      <t>ジュシンガワ</t>
    </rPh>
    <rPh sb="3" eb="6">
      <t>コウモクメイ</t>
    </rPh>
    <phoneticPr fontId="1"/>
  </si>
  <si>
    <t>変換内容</t>
    <rPh sb="0" eb="2">
      <t>ヘンカン</t>
    </rPh>
    <rPh sb="2" eb="4">
      <t>ナイヨウ</t>
    </rPh>
    <phoneticPr fontId="1"/>
  </si>
  <si>
    <t>変換場所</t>
    <rPh sb="0" eb="2">
      <t>ヘンカン</t>
    </rPh>
    <rPh sb="2" eb="4">
      <t>バショ</t>
    </rPh>
    <phoneticPr fontId="1"/>
  </si>
  <si>
    <t>001</t>
    <phoneticPr fontId="1"/>
  </si>
  <si>
    <t>EBSの勘定科目コードと細目コードを統合して、SAPの勘定コードにする方向で検討しています。
(勘定コードの7,8,9桁目でEBSの細目コードに相当する情報を管理します。)</t>
  </si>
  <si>
    <t>002</t>
    <phoneticPr fontId="1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</si>
  <si>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</si>
  <si>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</si>
  <si>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</si>
  <si>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</si>
  <si>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</si>
  <si>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</si>
  <si>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</si>
  <si>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</si>
  <si>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</si>
  <si>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</si>
  <si>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</si>
  <si>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</si>
  <si>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</si>
  <si>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</si>
  <si>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</si>
  <si>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</si>
  <si>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</si>
  <si>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</si>
  <si>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</si>
  <si>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</si>
  <si>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</si>
  <si>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</si>
  <si>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</si>
  <si>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</si>
  <si>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</si>
  <si>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</si>
  <si>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</si>
  <si>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</si>
  <si>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</si>
  <si>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</si>
  <si>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</si>
  <si>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</si>
  <si>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</si>
  <si>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</si>
  <si>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</si>
  <si>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</si>
  <si>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</si>
  <si>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</si>
  <si>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</si>
  <si>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</si>
  <si>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</si>
  <si>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</si>
  <si>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</si>
  <si>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</si>
  <si>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</si>
  <si>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</si>
  <si>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</si>
  <si>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</si>
  <si>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受信システム</t>
    <rPh sb="0" eb="2">
      <t>ジュシン</t>
    </rPh>
    <phoneticPr fontId="1"/>
  </si>
  <si>
    <t>連携基盤使用有無</t>
    <rPh sb="0" eb="4">
      <t>レンケイキバン</t>
    </rPh>
    <rPh sb="4" eb="8">
      <t>シヨウウム</t>
    </rPh>
    <phoneticPr fontId="1"/>
  </si>
  <si>
    <t>標準/追加開発</t>
    <phoneticPr fontId="1"/>
  </si>
  <si>
    <t>必須・任意</t>
    <rPh sb="0" eb="2">
      <t>ヒッス</t>
    </rPh>
    <rPh sb="3" eb="5">
      <t>ニンイ</t>
    </rPh>
    <phoneticPr fontId="1"/>
  </si>
  <si>
    <t>変換場所</t>
    <rPh sb="0" eb="4">
      <t>ヘンカンバショ</t>
    </rPh>
    <phoneticPr fontId="1"/>
  </si>
  <si>
    <t>生産</t>
    <phoneticPr fontId="1"/>
  </si>
  <si>
    <t>有</t>
    <rPh sb="0" eb="1">
      <t>アリ</t>
    </rPh>
    <phoneticPr fontId="1"/>
  </si>
  <si>
    <t>A1.SAP→周辺システム(非リアルタイム/Snowflake非経由)</t>
  </si>
  <si>
    <t>標準</t>
    <phoneticPr fontId="1"/>
  </si>
  <si>
    <t>○</t>
    <phoneticPr fontId="1"/>
  </si>
  <si>
    <t>文字型</t>
    <rPh sb="0" eb="3">
      <t>モジガタ</t>
    </rPh>
    <phoneticPr fontId="1"/>
  </si>
  <si>
    <t>要</t>
    <rPh sb="0" eb="1">
      <t>ヨウ</t>
    </rPh>
    <phoneticPr fontId="1"/>
  </si>
  <si>
    <t>送信システム</t>
    <rPh sb="0" eb="2">
      <t>ソウシン</t>
    </rPh>
    <phoneticPr fontId="1"/>
  </si>
  <si>
    <t>調達</t>
  </si>
  <si>
    <t>無</t>
    <rPh sb="0" eb="1">
      <t>ナシ</t>
    </rPh>
    <phoneticPr fontId="1"/>
  </si>
  <si>
    <t>A2.SAP→周辺システム(非リアルタイム/Snowflake経由/Waha使用)</t>
  </si>
  <si>
    <t>追加開発</t>
    <rPh sb="0" eb="4">
      <t>ツイカカイハツ</t>
    </rPh>
    <phoneticPr fontId="1"/>
  </si>
  <si>
    <t>数値型</t>
    <rPh sb="0" eb="3">
      <t>スウチガタ</t>
    </rPh>
    <phoneticPr fontId="1"/>
  </si>
  <si>
    <t>不要</t>
    <rPh sb="0" eb="2">
      <t>フヨウ</t>
    </rPh>
    <phoneticPr fontId="1"/>
  </si>
  <si>
    <t>連携基盤</t>
    <rPh sb="0" eb="4">
      <t>レンケイキバン</t>
    </rPh>
    <phoneticPr fontId="1"/>
  </si>
  <si>
    <t>販売</t>
  </si>
  <si>
    <t>A3.SAP→周辺システム(非リアルタイム/Snowflake経由/Snowflake直アクセス)</t>
  </si>
  <si>
    <t>日付型</t>
    <rPh sb="0" eb="3">
      <t>ヒヅケガタ</t>
    </rPh>
    <phoneticPr fontId="1"/>
  </si>
  <si>
    <t>製販</t>
  </si>
  <si>
    <t>B1.周辺システム→SAP(非リアルタイム/Snowflake非経由)</t>
  </si>
  <si>
    <t>原価</t>
  </si>
  <si>
    <t>B2.周辺システム→SAP(非リアルタイム/Snowflake経由/Fivetran使用)</t>
  </si>
  <si>
    <t>B3.周辺システム→SAP(非リアルタイム/Snowflake経由/S3経由)</t>
  </si>
  <si>
    <t>管理会計</t>
  </si>
  <si>
    <t>C1.周辺システム→SAP(リアルタイム/参照)</t>
  </si>
  <si>
    <t>マスタ</t>
    <phoneticPr fontId="1"/>
  </si>
  <si>
    <t>C2.周辺システム→SAP(リアルタイム/更新)</t>
  </si>
  <si>
    <t>C3.SAP→周辺システム(リアルタイム/参照)</t>
  </si>
  <si>
    <t>C4.SAP→周辺システム(リアルタイム/更新)</t>
  </si>
  <si>
    <t>C5.本社-SAP⇔子会社-SAP（リアルタイム/更新・参照）</t>
  </si>
  <si>
    <t>ZZ.その他</t>
  </si>
  <si>
    <t>SAP</t>
    <phoneticPr fontId="1"/>
  </si>
  <si>
    <t>sample01</t>
    <phoneticPr fontId="1"/>
  </si>
  <si>
    <t>sample02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</si>
</sst>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/mm/dd"/>
  </numFmts>
  <fonts count="18">
    <font>
      <sz val="11"/>
      <color theme="1"/>
      <name val="メイリオ"/>
      <family val="2"/>
      <charset val="128"/>
      <scheme val="minor"/>
    </font>
    <font>
      <sz val="6"/>
      <name val="メイリオ"/>
      <family val="2"/>
      <charset val="128"/>
      <scheme val="minor"/>
    </font>
    <font>
      <sz val="11"/>
      <color theme="1"/>
      <name val="メイリオ"/>
      <family val="2"/>
      <scheme val="minor"/>
    </font>
    <font>
      <sz val="10"/>
      <name val="Helv"/>
      <family val="2"/>
    </font>
    <font>
      <sz val="11"/>
      <color theme="1"/>
      <name val="メイリオ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メイリオ"/>
      <family val="3"/>
      <charset val="128"/>
      <scheme val="minor"/>
    </font>
    <font>
      <sz val="10"/>
      <color rgb="FF000000"/>
      <name val="メイリオ"/>
      <family val="3"/>
      <charset val="128"/>
      <scheme val="minor"/>
    </font>
    <font>
      <sz val="10"/>
      <color theme="0"/>
      <name val="メイリオ"/>
      <family val="3"/>
      <charset val="128"/>
      <scheme val="minor"/>
    </font>
    <font>
      <sz val="10"/>
      <color theme="1"/>
      <name val="メイリオ"/>
      <family val="3"/>
      <charset val="128"/>
      <scheme val="minor"/>
    </font>
    <font>
      <sz val="10"/>
      <color theme="0"/>
      <name val="メイリオ"/>
      <family val="3"/>
      <charset val="128"/>
    </font>
    <font>
      <sz val="11"/>
      <color theme="0"/>
      <name val="メイリオ"/>
      <family val="2"/>
      <charset val="128"/>
    </font>
    <font>
      <sz val="11"/>
      <color theme="0"/>
      <name val="メイリオ"/>
      <family val="3"/>
      <charset val="128"/>
    </font>
    <font>
      <b/>
      <sz val="2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2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</cellStyleXfs>
  <cellXfs count="91">
    <xf numFmtId="0" fontId="0" fillId="0" borderId="0" xfId="0">
      <alignment vertical="center"/>
    </xf>
    <xf numFmtId="0" fontId="7" fillId="0" borderId="0" xfId="5"/>
    <xf numFmtId="0" fontId="9" fillId="0" borderId="6" xfId="5" applyFont="1" applyBorder="1" applyAlignment="1">
      <alignment horizontal="center" vertical="top"/>
    </xf>
    <xf numFmtId="2" fontId="9" fillId="0" borderId="6" xfId="5" applyNumberFormat="1" applyFont="1" applyBorder="1" applyAlignment="1">
      <alignment horizontal="center" vertical="top"/>
    </xf>
    <xf numFmtId="0" fontId="9" fillId="0" borderId="6" xfId="5" applyFont="1" applyBorder="1" applyAlignment="1">
      <alignment horizontal="left" vertical="top"/>
    </xf>
    <xf numFmtId="177" fontId="9" fillId="0" borderId="6" xfId="5" applyNumberFormat="1" applyFont="1" applyBorder="1" applyAlignment="1">
      <alignment horizontal="center" vertical="top"/>
    </xf>
    <xf numFmtId="0" fontId="9" fillId="0" borderId="6" xfId="5" applyFont="1" applyBorder="1" applyAlignment="1">
      <alignment horizontal="left" vertical="top" wrapText="1"/>
    </xf>
    <xf numFmtId="0" fontId="7" fillId="0" borderId="6" xfId="5" applyBorder="1" applyAlignment="1">
      <alignment vertical="top"/>
    </xf>
    <xf numFmtId="177" fontId="7" fillId="0" borderId="6" xfId="5" applyNumberFormat="1" applyBorder="1" applyAlignment="1">
      <alignment horizontal="center" vertical="top"/>
    </xf>
    <xf numFmtId="2" fontId="7" fillId="0" borderId="6" xfId="5" applyNumberFormat="1" applyBorder="1" applyAlignment="1">
      <alignment horizontal="center" vertical="top"/>
    </xf>
    <xf numFmtId="0" fontId="7" fillId="0" borderId="6" xfId="5" applyBorder="1" applyAlignment="1">
      <alignment horizontal="center" vertical="top"/>
    </xf>
    <xf numFmtId="177" fontId="7" fillId="0" borderId="0" xfId="5" applyNumberFormat="1"/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 wrapText="1"/>
    </xf>
    <xf numFmtId="0" fontId="9" fillId="0" borderId="6" xfId="5" applyFont="1" applyBorder="1" applyAlignment="1">
      <alignment horizontal="center" vertical="center"/>
    </xf>
    <xf numFmtId="2" fontId="9" fillId="0" borderId="6" xfId="5" applyNumberFormat="1" applyFont="1" applyBorder="1" applyAlignment="1">
      <alignment horizontal="center" vertical="center"/>
    </xf>
    <xf numFmtId="177" fontId="9" fillId="0" borderId="6" xfId="5" applyNumberFormat="1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 wrapText="1"/>
    </xf>
    <xf numFmtId="49" fontId="9" fillId="0" borderId="3" xfId="0" applyNumberFormat="1" applyFont="1" applyBorder="1">
      <alignment vertical="center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9" fillId="3" borderId="1" xfId="0" applyNumberFormat="1" applyFont="1" applyFill="1" applyBorder="1" applyAlignment="1">
      <alignment vertical="center" wrapText="1"/>
    </xf>
    <xf numFmtId="49" fontId="9" fillId="0" borderId="16" xfId="0" applyNumberFormat="1" applyFont="1" applyBorder="1">
      <alignment vertical="center"/>
    </xf>
    <xf numFmtId="49" fontId="9" fillId="0" borderId="17" xfId="0" applyNumberFormat="1" applyFont="1" applyBorder="1">
      <alignment vertical="center"/>
    </xf>
    <xf numFmtId="49" fontId="9" fillId="0" borderId="16" xfId="0" applyNumberFormat="1" applyFont="1" applyBorder="1" applyAlignment="1">
      <alignment vertical="center" wrapText="1"/>
    </xf>
    <xf numFmtId="49" fontId="9" fillId="0" borderId="17" xfId="0" applyNumberFormat="1" applyFont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11" fillId="7" borderId="0" xfId="0" applyFont="1" applyFill="1">
      <alignment vertical="center"/>
    </xf>
    <xf numFmtId="0" fontId="12" fillId="7" borderId="0" xfId="0" applyFont="1" applyFill="1">
      <alignment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>
      <alignment vertical="center"/>
    </xf>
    <xf numFmtId="49" fontId="9" fillId="0" borderId="1" xfId="0" applyNumberFormat="1" applyFont="1" applyBorder="1">
      <alignment vertical="center"/>
    </xf>
    <xf numFmtId="49" fontId="0" fillId="0" borderId="0" xfId="0" applyNumberFormat="1" applyAlignment="1">
      <alignment horizontal="center" vertical="center"/>
    </xf>
    <xf numFmtId="0" fontId="8" fillId="8" borderId="6" xfId="5" applyFont="1" applyFill="1" applyBorder="1" applyAlignment="1">
      <alignment horizontal="center" vertical="center"/>
    </xf>
    <xf numFmtId="177" fontId="8" fillId="8" borderId="6" xfId="5" applyNumberFormat="1" applyFont="1" applyFill="1" applyBorder="1" applyAlignment="1">
      <alignment horizontal="center" vertical="center"/>
    </xf>
    <xf numFmtId="0" fontId="14" fillId="0" borderId="0" xfId="4" applyFont="1">
      <alignment vertical="center"/>
    </xf>
    <xf numFmtId="0" fontId="14" fillId="0" borderId="9" xfId="4" applyFont="1" applyBorder="1">
      <alignment vertical="center"/>
    </xf>
    <xf numFmtId="0" fontId="14" fillId="0" borderId="11" xfId="4" applyFont="1" applyBorder="1">
      <alignment vertical="center"/>
    </xf>
    <xf numFmtId="0" fontId="14" fillId="0" borderId="12" xfId="4" applyFont="1" applyBorder="1">
      <alignment vertical="center"/>
    </xf>
    <xf numFmtId="0" fontId="14" fillId="0" borderId="13" xfId="4" applyFont="1" applyBorder="1">
      <alignment vertical="center"/>
    </xf>
    <xf numFmtId="0" fontId="14" fillId="0" borderId="10" xfId="4" applyFont="1" applyBorder="1">
      <alignment vertical="center"/>
    </xf>
    <xf numFmtId="0" fontId="15" fillId="0" borderId="0" xfId="4" applyFont="1">
      <alignment vertical="center"/>
    </xf>
    <xf numFmtId="0" fontId="16" fillId="0" borderId="13" xfId="4" applyFont="1" applyBorder="1">
      <alignment vertical="center"/>
    </xf>
    <xf numFmtId="0" fontId="17" fillId="0" borderId="0" xfId="4" applyFont="1">
      <alignment vertical="center"/>
    </xf>
    <xf numFmtId="0" fontId="16" fillId="0" borderId="0" xfId="4" applyFont="1">
      <alignment vertical="center"/>
    </xf>
    <xf numFmtId="0" fontId="16" fillId="0" borderId="10" xfId="4" applyFont="1" applyBorder="1">
      <alignment vertical="center"/>
    </xf>
    <xf numFmtId="0" fontId="14" fillId="0" borderId="0" xfId="4" applyFont="1" applyAlignment="1">
      <alignment horizontal="center" vertical="center"/>
    </xf>
    <xf numFmtId="176" fontId="16" fillId="0" borderId="1" xfId="4" applyNumberFormat="1" applyFont="1" applyBorder="1" applyAlignment="1">
      <alignment horizontal="center" vertical="center"/>
    </xf>
    <xf numFmtId="177" fontId="16" fillId="0" borderId="1" xfId="4" applyNumberFormat="1" applyFont="1" applyBorder="1" applyAlignment="1">
      <alignment horizontal="center" vertical="center"/>
    </xf>
    <xf numFmtId="0" fontId="14" fillId="0" borderId="14" xfId="4" applyFont="1" applyBorder="1">
      <alignment vertical="center"/>
    </xf>
    <xf numFmtId="0" fontId="14" fillId="0" borderId="15" xfId="4" applyFont="1" applyBorder="1">
      <alignment vertical="center"/>
    </xf>
    <xf numFmtId="0" fontId="14" fillId="0" borderId="5" xfId="4" applyFont="1" applyBorder="1">
      <alignment vertical="center"/>
    </xf>
    <xf numFmtId="0" fontId="8" fillId="8" borderId="6" xfId="5" applyFont="1" applyFill="1" applyBorder="1" applyAlignment="1">
      <alignment horizontal="center" vertical="center" wrapText="1"/>
    </xf>
    <xf numFmtId="0" fontId="9" fillId="0" borderId="6" xfId="5" applyFont="1" applyBorder="1" applyAlignment="1">
      <alignment horizontal="left" vertical="center" wrapText="1"/>
    </xf>
    <xf numFmtId="0" fontId="9" fillId="0" borderId="6" xfId="5" applyFont="1" applyBorder="1" applyAlignment="1">
      <alignment vertical="top" wrapText="1"/>
    </xf>
    <xf numFmtId="0" fontId="7" fillId="0" borderId="6" xfId="5" applyBorder="1" applyAlignment="1">
      <alignment vertical="top" wrapText="1"/>
    </xf>
    <xf numFmtId="0" fontId="7" fillId="0" borderId="0" xfId="5" applyAlignment="1">
      <alignment wrapText="1"/>
    </xf>
    <xf numFmtId="49" fontId="9" fillId="0" borderId="0" xfId="0" applyNumberFormat="1" applyFont="1" applyAlignment="1">
      <alignment horizontal="left" vertical="center" wrapText="1"/>
    </xf>
    <xf numFmtId="49" fontId="9" fillId="3" borderId="0" xfId="0" applyNumberFormat="1" applyFont="1" applyFill="1" applyAlignment="1">
      <alignment horizontal="left" vertical="center" wrapText="1"/>
    </xf>
    <xf numFmtId="49" fontId="9" fillId="3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3" borderId="1" xfId="0" applyFont="1" applyFill="1" applyBorder="1" applyAlignment="1">
      <alignment horizontal="left" vertical="center"/>
    </xf>
    <xf numFmtId="49" fontId="9" fillId="3" borderId="4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0" fontId="13" fillId="0" borderId="0" xfId="3" applyFont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left" vertical="center" wrapText="1"/>
    </xf>
    <xf numFmtId="49" fontId="8" fillId="5" borderId="7" xfId="0" applyNumberFormat="1" applyFont="1" applyFill="1" applyBorder="1" applyAlignment="1">
      <alignment horizontal="left" vertical="center" wrapText="1"/>
    </xf>
    <xf numFmtId="49" fontId="8" fillId="5" borderId="2" xfId="0" applyNumberFormat="1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 wrapText="1"/>
    </xf>
  </cellXfs>
  <cellStyles count="6">
    <cellStyle name="標準 2" xfId="5" xr:uid="{B22E65C5-56E9-42CD-87C1-0F54CFFFAF11}"/>
    <cellStyle name="標準 2 14 2" xfId="1" xr:uid="{4A58A2C2-0993-47A8-897A-F567E1FDE610}"/>
    <cellStyle name="標準 20 2" xfId="2" xr:uid="{D45E889D-4B83-4A98-BF94-D7576895481F}"/>
    <cellStyle name="標準 5" xfId="3" xr:uid="{27EAA847-15F7-4246-A18F-51C02433DC03}"/>
    <cellStyle name="標準 7" xfId="4" xr:uid="{4D8196E4-F1C3-4C6C-A138-0636DC622685}"/>
    <cellStyle name="常规" xfId="0" builtinId="0"/>
  </cellStyles>
  <dxfs count="0"/>
  <tableStyles count="0" defaultTableStyle="TableStyleMedium2" defaultPivotStyle="PivotStyleLight16"/>
  <colors>
    <mruColors>
      <color rgb="FFFFFF66"/>
      <color rgb="FF215BCF"/>
      <color rgb="FF3BABFF"/>
      <color rgb="FFFF99CC"/>
      <color rgb="FF993300"/>
      <color rgb="FF7D2424"/>
      <color rgb="FF0000FF"/>
      <color rgb="FF008000"/>
      <color rgb="FFFF9900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19</xdr:row>
      <xdr:rowOff>106680</xdr:rowOff>
    </xdr:from>
    <xdr:to>
      <xdr:col>11</xdr:col>
      <xdr:colOff>15240</xdr:colOff>
      <xdr:row>20</xdr:row>
      <xdr:rowOff>358140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3551402D-46A6-C77C-3C19-DEEB1D7FC3BD}"/>
            </a:ext>
          </a:extLst>
        </xdr:cNvPr>
        <xdr:cNvSpPr/>
      </xdr:nvSpPr>
      <xdr:spPr bwMode="auto">
        <a:xfrm>
          <a:off x="6377940" y="5265420"/>
          <a:ext cx="1333500" cy="502920"/>
        </a:xfrm>
        <a:prstGeom prst="borderCallout1">
          <a:avLst>
            <a:gd name="adj1" fmla="val 23005"/>
            <a:gd name="adj2" fmla="val 528"/>
            <a:gd name="adj3" fmla="val 76486"/>
            <a:gd name="adj4" fmla="val -41559"/>
          </a:avLst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63500" tIns="0" rIns="64800" bIns="0" numCol="1" rtlCol="0" anchor="t" anchorCtr="0" compatLnSpc="1">
          <a:prstTxWarp prst="textNoShape">
            <a:avLst/>
          </a:prstTxWarp>
        </a:bodyPr>
        <a:lstStyle/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20000"/>
            </a:spcBef>
            <a:spcAft>
              <a:spcPct val="20000"/>
            </a:spcAft>
            <a:buClrTx/>
            <a:buSzPct val="90000"/>
            <a:buFontTx/>
            <a:buNone/>
            <a:tabLst/>
          </a:pPr>
          <a:r>
            <a:rPr kumimoji="0" lang="en-US" altLang="ja-JP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IF</a:t>
          </a:r>
          <a:r>
            <a:rPr kumimoji="0" lang="ja-JP" altLang="en-US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マッピング定義書名を記載</a:t>
          </a:r>
          <a:endParaRPr kumimoji="0" lang="en-US" altLang="ja-JP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Arial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2</xdr:row>
      <xdr:rowOff>99060</xdr:rowOff>
    </xdr:from>
    <xdr:to>
      <xdr:col>7</xdr:col>
      <xdr:colOff>396240</xdr:colOff>
      <xdr:row>3</xdr:row>
      <xdr:rowOff>76200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7EFE2091-07F3-4134-A416-5FAA9485A51F}"/>
            </a:ext>
          </a:extLst>
        </xdr:cNvPr>
        <xdr:cNvSpPr/>
      </xdr:nvSpPr>
      <xdr:spPr bwMode="auto">
        <a:xfrm>
          <a:off x="6979920" y="807720"/>
          <a:ext cx="1432560" cy="434340"/>
        </a:xfrm>
        <a:prstGeom prst="borderCallout1">
          <a:avLst>
            <a:gd name="adj1" fmla="val 23005"/>
            <a:gd name="adj2" fmla="val 528"/>
            <a:gd name="adj3" fmla="val -38874"/>
            <a:gd name="adj4" fmla="val -41216"/>
          </a:avLst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63500" tIns="0" rIns="64800" bIns="0" numCol="1" rtlCol="0" anchor="t" anchorCtr="0" compatLnSpc="1">
          <a:prstTxWarp prst="textNoShape">
            <a:avLst/>
          </a:prstTxWarp>
        </a:bodyPr>
        <a:lstStyle/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20000"/>
            </a:spcBef>
            <a:spcAft>
              <a:spcPct val="20000"/>
            </a:spcAft>
            <a:buClrTx/>
            <a:buSzPct val="90000"/>
            <a:buFontTx/>
            <a:buNone/>
            <a:tabLst/>
          </a:pPr>
          <a:r>
            <a:rPr kumimoji="0" lang="ja-JP" altLang="en-US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バージョン</a:t>
          </a:r>
          <a:r>
            <a:rPr kumimoji="0" lang="en-US" altLang="ja-JP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1.00</a:t>
          </a:r>
          <a:r>
            <a:rPr kumimoji="0" lang="ja-JP" altLang="en-US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の作成者を記載</a:t>
          </a:r>
          <a:endParaRPr kumimoji="0" lang="en-US" altLang="ja-JP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Arial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385823</xdr:colOff>
      <xdr:row>0</xdr:row>
      <xdr:rowOff>86810</xdr:rowOff>
    </xdr:from>
    <xdr:to>
      <xdr:col>6</xdr:col>
      <xdr:colOff>255800</xdr:colOff>
      <xdr:row>2</xdr:row>
      <xdr:rowOff>135327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D89CE8E1-9900-460F-B46B-C7FC9C35D102}"/>
            </a:ext>
          </a:extLst>
        </xdr:cNvPr>
        <xdr:cNvSpPr/>
      </xdr:nvSpPr>
      <xdr:spPr bwMode="auto">
        <a:xfrm>
          <a:off x="6877291" y="86810"/>
          <a:ext cx="1432560" cy="434340"/>
        </a:xfrm>
        <a:prstGeom prst="borderCallout1">
          <a:avLst>
            <a:gd name="adj1" fmla="val 23005"/>
            <a:gd name="adj2" fmla="val 528"/>
            <a:gd name="adj3" fmla="val 132123"/>
            <a:gd name="adj4" fmla="val -41890"/>
          </a:avLst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63500" tIns="0" rIns="64800" bIns="0" numCol="1" rtlCol="0" anchor="t" anchorCtr="0" compatLnSpc="1">
          <a:prstTxWarp prst="textNoShape">
            <a:avLst/>
          </a:prstTxWarp>
        </a:bodyPr>
        <a:lstStyle/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20000"/>
            </a:spcBef>
            <a:spcAft>
              <a:spcPct val="20000"/>
            </a:spcAft>
            <a:buClrTx/>
            <a:buSzPct val="90000"/>
            <a:buFontTx/>
            <a:buNone/>
            <a:tabLst/>
          </a:pPr>
          <a:r>
            <a:rPr kumimoji="0" lang="ja-JP" altLang="en-US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新</a:t>
          </a:r>
          <a:r>
            <a:rPr kumimoji="0" lang="en-US" altLang="ja-JP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IF</a:t>
          </a:r>
          <a:r>
            <a:rPr kumimoji="0" lang="ja-JP" altLang="en-US" sz="10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Arial" charset="0"/>
            </a:rPr>
            <a:t>一覧を基に、情報を記載</a:t>
          </a:r>
          <a:endParaRPr kumimoji="0" lang="en-US" altLang="ja-JP" sz="10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Arial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Junction Excel">
  <a:themeElements>
    <a:clrScheme name="島津">
      <a:dk1>
        <a:srgbClr val="000000"/>
      </a:dk1>
      <a:lt1>
        <a:srgbClr val="FFFFFF"/>
      </a:lt1>
      <a:dk2>
        <a:srgbClr val="6D6D6D"/>
      </a:dk2>
      <a:lt2>
        <a:srgbClr val="DEDEDE"/>
      </a:lt2>
      <a:accent1>
        <a:srgbClr val="A76B9A"/>
      </a:accent1>
      <a:accent2>
        <a:srgbClr val="005272"/>
      </a:accent2>
      <a:accent3>
        <a:srgbClr val="C00000"/>
      </a:accent3>
      <a:accent4>
        <a:srgbClr val="EA8B00"/>
      </a:accent4>
      <a:accent5>
        <a:srgbClr val="F1D400"/>
      </a:accent5>
      <a:accent6>
        <a:srgbClr val="6D6D6D"/>
      </a:accent6>
      <a:hlink>
        <a:srgbClr val="000000"/>
      </a:hlink>
      <a:folHlink>
        <a:srgbClr val="FFFF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rtlCol="0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sz="1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cs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lang="en-GB" sz="2000" b="0" i="0" u="none" strike="noStrike" cap="none" normalizeH="0" baseline="0" smtClean="0">
            <a:ln>
              <a:noFill/>
            </a:ln>
            <a:solidFill>
              <a:schemeClr val="bg2"/>
            </a:solidFill>
            <a:effectLst/>
            <a:latin typeface="Arial" charset="0"/>
            <a:cs typeface="Arial" charset="0"/>
          </a:defRPr>
        </a:defPPr>
      </a:lstStyle>
    </a:lnDef>
  </a:objectDefaults>
  <a:extraClrSchemeLst/>
  <a:custClrLst>
    <a:custClr name="Dark Orange 2">
      <a:srgbClr val="571F01"/>
    </a:custClr>
    <a:custClr name="Dark Orange 1">
      <a:srgbClr val="933401"/>
    </a:custClr>
    <a:custClr name="Primary Orange">
      <a:srgbClr val="D04A02"/>
    </a:custClr>
    <a:custClr name="Light Orange 1">
      <a:srgbClr val="FD6412"/>
    </a:custClr>
    <a:custClr name="Light Orange 2">
      <a:srgbClr val="FEB791"/>
    </a:custClr>
    <a:custClr name="Dark Tangerine 2">
      <a:srgbClr val="714300"/>
    </a:custClr>
    <a:custClr name="Dark Tangerine 1">
      <a:srgbClr val="AE6800"/>
    </a:custClr>
    <a:custClr name="Primary Tangerine">
      <a:srgbClr val="EB8C00"/>
    </a:custClr>
    <a:custClr name="Light Tangerine 1">
      <a:srgbClr val="FFA929"/>
    </a:custClr>
    <a:custClr name="Light Tangerine 2">
      <a:srgbClr val="FFDCA9"/>
    </a:custClr>
    <a:custClr name="Dark Yellow 2">
      <a:srgbClr val="855F00"/>
    </a:custClr>
    <a:custClr name="Dark Yellow 1">
      <a:srgbClr val="C28A00"/>
    </a:custClr>
    <a:custClr name="Primary Yellow">
      <a:srgbClr val="FFB600"/>
    </a:custClr>
    <a:custClr name="Light Yellow 1">
      <a:srgbClr val="FFC83D"/>
    </a:custClr>
    <a:custClr name="Light Yellow 2">
      <a:srgbClr val="FFECBD"/>
    </a:custClr>
    <a:custClr name="Dark Rose 2">
      <a:srgbClr val="6E2A35"/>
    </a:custClr>
    <a:custClr name="Dark Rose 1">
      <a:srgbClr val="A43E50"/>
    </a:custClr>
    <a:custClr name="Primary Rose">
      <a:srgbClr val="DB536A"/>
    </a:custClr>
    <a:custClr name="Light Rose 1">
      <a:srgbClr val="E27588"/>
    </a:custClr>
    <a:custClr name="Light Rose 2">
      <a:srgbClr val="F1BAC3"/>
    </a:custClr>
    <a:custClr name="Dark Red 2">
      <a:srgbClr val="741910"/>
    </a:custClr>
    <a:custClr name="Dark Red 1">
      <a:srgbClr val="AA2417"/>
    </a:custClr>
    <a:custClr name="Primary Red">
      <a:srgbClr val="E0301E"/>
    </a:custClr>
    <a:custClr name="Light Red 1">
      <a:srgbClr val="E86153"/>
    </a:custClr>
    <a:custClr name="Light Red 2">
      <a:srgbClr val="F7C8C4"/>
    </a:custClr>
    <a:custClr name="Black">
      <a:srgbClr val="000000"/>
    </a:custClr>
    <a:custClr name="Dark Grey">
      <a:srgbClr val="2D2D2D"/>
    </a:custClr>
    <a:custClr name="Medium Grey">
      <a:srgbClr val="464646"/>
    </a:custClr>
    <a:custClr name="Grey">
      <a:srgbClr val="7D7D7D"/>
    </a:custClr>
    <a:custClr name="Light Grey">
      <a:srgbClr val="DEDEDE"/>
    </a:custClr>
    <a:custClr name="Dark Purple 2">
      <a:srgbClr val="4B06B2"/>
    </a:custClr>
    <a:custClr name="Dark Purple 1">
      <a:srgbClr val="6A1CE2"/>
    </a:custClr>
    <a:custClr name="Secondary Purple">
      <a:srgbClr val="9013FE"/>
    </a:custClr>
    <a:custClr name="Light Purple 1">
      <a:srgbClr val="B15AFE"/>
    </a:custClr>
    <a:custClr name="Light Purple 2">
      <a:srgbClr val="DEB8FF"/>
    </a:custClr>
    <a:custClr name="Dark Blue 2">
      <a:srgbClr val="003DAB"/>
    </a:custClr>
    <a:custClr name="Dark Blue 1">
      <a:srgbClr val="0060D7"/>
    </a:custClr>
    <a:custClr name="Secondary Blue">
      <a:srgbClr val="0089EB"/>
    </a:custClr>
    <a:custClr name="Light Blue 1">
      <a:srgbClr val="4DACF1"/>
    </a:custClr>
    <a:custClr name="Light Blue 2">
      <a:srgbClr val="B3DCF9"/>
    </a:custClr>
    <a:custClr name="Dark Green 2">
      <a:srgbClr val="175C2C"/>
    </a:custClr>
    <a:custClr name="Dark Green 1">
      <a:srgbClr val="2C8646"/>
    </a:custClr>
    <a:custClr name="Secondary Green">
      <a:srgbClr val="4EB523"/>
    </a:custClr>
    <a:custClr name="Light Green 1">
      <a:srgbClr val="86DB4F"/>
    </a:custClr>
    <a:custClr name="Light Green 2">
      <a:srgbClr val="C4FC9F"/>
    </a:custClr>
    <a:custClr name="Status Red">
      <a:srgbClr val="E0301E"/>
    </a:custClr>
    <a:custClr name="Status Yellow">
      <a:srgbClr val="FFB600"/>
    </a:custClr>
    <a:custClr name="Status Green">
      <a:srgbClr val="175C2C"/>
    </a:custClr>
  </a:custClrLst>
  <a:extLst>
    <a:ext uri="{05A4C25C-085E-4340-85A3-A5531E510DB2}">
      <thm15:themeFamily xmlns:thm15="http://schemas.microsoft.com/office/thememl/2012/main" name="Junction Excel" id="{BE81DFF5-D553-49CF-A07D-37888B54D43A}" vid="{10BDC75D-3EA8-4EA0-AEF5-EB1C0658828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E78C-F05A-4139-A817-F7EAD79C1A54}">
  <dimension ref="B1:I26"/>
  <sheetViews>
    <sheetView showGridLines="0" zoomScaleNormal="100" zoomScaleSheetLayoutView="42" workbookViewId="0">
      <selection activeCell="C21" sqref="C21:H21"/>
    </sheetView>
  </sheetViews>
  <sheetFormatPr defaultColWidth="8.77734375" defaultRowHeight="15.75"/>
  <cols>
    <col min="1" max="1" width="3.33203125" style="44" customWidth="1"/>
    <col min="2" max="2" width="4.88671875" style="44" customWidth="1"/>
    <col min="3" max="4" width="8.77734375" style="44"/>
    <col min="5" max="5" width="8.88671875" style="44" bestFit="1" customWidth="1"/>
    <col min="6" max="7" width="8.77734375" style="44"/>
    <col min="8" max="8" width="16.77734375" style="44" bestFit="1" customWidth="1"/>
    <col min="9" max="9" width="4.88671875" style="44" customWidth="1"/>
    <col min="10" max="16384" width="8.77734375" style="44"/>
  </cols>
  <sheetData>
    <row r="1" spans="2:9" ht="15" customHeight="1"/>
    <row r="2" spans="2:9" ht="19.899999999999999" customHeight="1">
      <c r="B2" s="45"/>
      <c r="C2" s="46"/>
      <c r="D2" s="46"/>
      <c r="E2" s="46"/>
      <c r="F2" s="46"/>
      <c r="G2" s="46"/>
      <c r="H2" s="46"/>
      <c r="I2" s="47"/>
    </row>
    <row r="3" spans="2:9" ht="19.899999999999999" customHeight="1">
      <c r="B3" s="48"/>
      <c r="I3" s="49"/>
    </row>
    <row r="4" spans="2:9" ht="19.899999999999999" customHeight="1">
      <c r="B4" s="48"/>
      <c r="I4" s="49"/>
    </row>
    <row r="5" spans="2:9" ht="19.899999999999999" customHeight="1">
      <c r="B5" s="48"/>
      <c r="I5" s="49"/>
    </row>
    <row r="6" spans="2:9" ht="19.899999999999999" customHeight="1">
      <c r="B6" s="48"/>
      <c r="I6" s="49"/>
    </row>
    <row r="7" spans="2:9" ht="19.899999999999999" customHeight="1">
      <c r="B7" s="48"/>
      <c r="I7" s="49"/>
    </row>
    <row r="8" spans="2:9" ht="19.899999999999999" customHeight="1">
      <c r="B8" s="48"/>
      <c r="I8" s="49"/>
    </row>
    <row r="9" spans="2:9" ht="19.899999999999999" customHeight="1">
      <c r="B9" s="48"/>
      <c r="I9" s="49"/>
    </row>
    <row r="10" spans="2:9" ht="34.9" customHeight="1">
      <c r="B10" s="48"/>
      <c r="C10" s="78" t="s">
        <v>0</v>
      </c>
      <c r="D10" s="78"/>
      <c r="E10" s="78"/>
      <c r="F10" s="78"/>
      <c r="G10" s="78"/>
      <c r="H10" s="78"/>
      <c r="I10" s="49"/>
    </row>
    <row r="11" spans="2:9" ht="34.9" customHeight="1">
      <c r="B11" s="48"/>
      <c r="D11" s="50"/>
      <c r="I11" s="49"/>
    </row>
    <row r="12" spans="2:9" s="53" customFormat="1" ht="19.899999999999999" customHeight="1">
      <c r="B12" s="51"/>
      <c r="C12" s="52"/>
      <c r="G12" s="52"/>
      <c r="I12" s="54"/>
    </row>
    <row r="13" spans="2:9" s="53" customFormat="1" ht="19.899999999999999" customHeight="1">
      <c r="B13" s="51"/>
      <c r="C13" s="52"/>
      <c r="G13" s="52"/>
      <c r="I13" s="54"/>
    </row>
    <row r="14" spans="2:9" ht="19.899999999999999" customHeight="1">
      <c r="B14" s="48"/>
      <c r="I14" s="49"/>
    </row>
    <row r="15" spans="2:9" ht="19.899999999999999" customHeight="1">
      <c r="B15" s="48"/>
      <c r="I15" s="49"/>
    </row>
    <row r="16" spans="2:9" ht="19.899999999999999" customHeight="1">
      <c r="B16" s="48"/>
      <c r="I16" s="49"/>
    </row>
    <row r="17" spans="2:9" ht="19.899999999999999" customHeight="1">
      <c r="B17" s="48"/>
      <c r="I17" s="49"/>
    </row>
    <row r="18" spans="2:9" ht="19.899999999999999" customHeight="1">
      <c r="B18" s="48"/>
      <c r="I18" s="49"/>
    </row>
    <row r="19" spans="2:9" ht="19.899999999999999" customHeight="1">
      <c r="B19" s="48"/>
      <c r="I19" s="49"/>
    </row>
    <row r="20" spans="2:9" ht="19.899999999999999" customHeight="1">
      <c r="B20" s="48"/>
      <c r="I20" s="49"/>
    </row>
    <row r="21" spans="2:9" ht="34.9" customHeight="1">
      <c r="B21" s="48"/>
      <c r="C21" s="80"/>
      <c r="D21" s="81"/>
      <c r="E21" s="81"/>
      <c r="F21" s="81"/>
      <c r="G21" s="81"/>
      <c r="H21" s="82"/>
      <c r="I21" s="49"/>
    </row>
    <row r="22" spans="2:9" ht="19.899999999999999" customHeight="1">
      <c r="B22" s="48"/>
      <c r="C22" s="55"/>
      <c r="D22" s="55"/>
      <c r="E22" s="55"/>
      <c r="F22" s="55"/>
      <c r="G22" s="55"/>
      <c r="H22" s="55"/>
      <c r="I22" s="49"/>
    </row>
    <row r="23" spans="2:9" ht="21">
      <c r="B23" s="48"/>
      <c r="C23" s="79" t="s">
        <v>1</v>
      </c>
      <c r="D23" s="79"/>
      <c r="E23" s="56">
        <f>MAX(改訂履歴!B:B)</f>
        <v>1</v>
      </c>
      <c r="F23" s="79" t="s">
        <v>2</v>
      </c>
      <c r="G23" s="79"/>
      <c r="H23" s="57">
        <f>MAX(改訂履歴!G:G)</f>
        <v>46053</v>
      </c>
      <c r="I23" s="49"/>
    </row>
    <row r="24" spans="2:9" ht="19.899999999999999" customHeight="1">
      <c r="B24" s="48"/>
      <c r="I24" s="49"/>
    </row>
    <row r="25" spans="2:9" ht="19.899999999999999" customHeight="1">
      <c r="B25" s="48"/>
      <c r="I25" s="49"/>
    </row>
    <row r="26" spans="2:9" ht="19.899999999999999" customHeight="1">
      <c r="B26" s="58"/>
      <c r="C26" s="59"/>
      <c r="D26" s="59"/>
      <c r="E26" s="59"/>
      <c r="F26" s="59"/>
      <c r="G26" s="59"/>
      <c r="H26" s="59"/>
      <c r="I26" s="60"/>
    </row>
  </sheetData>
  <mergeCells count="4">
    <mergeCell ref="C10:H10"/>
    <mergeCell ref="C23:D23"/>
    <mergeCell ref="F23:G23"/>
    <mergeCell ref="C21:H2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B64E-1B55-4A4C-B2F4-06F2ADEB6076}">
  <sheetPr>
    <outlinePr summaryBelow="0" summaryRight="0"/>
    <pageSetUpPr fitToPage="1"/>
  </sheetPr>
  <dimension ref="A1:I21"/>
  <sheetViews>
    <sheetView showGridLines="0" zoomScaleNormal="100" workbookViewId="0">
      <pane xSplit="3" ySplit="1" topLeftCell="D2" activePane="bottomRight" state="frozen"/>
      <selection pane="topRight" activeCell="B11" sqref="B11"/>
      <selection pane="bottomLeft" activeCell="B11" sqref="B11"/>
      <selection pane="bottomRight" activeCell="G2" sqref="G2"/>
    </sheetView>
  </sheetViews>
  <sheetFormatPr defaultColWidth="11.109375" defaultRowHeight="15" customHeight="1"/>
  <cols>
    <col min="1" max="1" width="5" style="1" customWidth="1"/>
    <col min="2" max="2" width="11.88671875" style="1" customWidth="1"/>
    <col min="3" max="3" width="8.5546875" style="1" customWidth="1"/>
    <col min="4" max="4" width="28.109375" style="65" customWidth="1"/>
    <col min="5" max="5" width="14.5546875" style="1" customWidth="1"/>
    <col min="6" max="6" width="13.6640625" style="1" customWidth="1"/>
    <col min="7" max="7" width="13.88671875" style="11" customWidth="1"/>
    <col min="8" max="8" width="15.77734375" style="1" customWidth="1"/>
    <col min="9" max="9" width="13.88671875" style="11" customWidth="1"/>
    <col min="10" max="16384" width="11.109375" style="1"/>
  </cols>
  <sheetData>
    <row r="1" spans="1:9" ht="20.100000000000001" customHeight="1">
      <c r="A1" s="42" t="s">
        <v>3</v>
      </c>
      <c r="B1" s="42" t="s">
        <v>4</v>
      </c>
      <c r="C1" s="42" t="s">
        <v>5</v>
      </c>
      <c r="D1" s="61" t="s">
        <v>6</v>
      </c>
      <c r="E1" s="42" t="s">
        <v>7</v>
      </c>
      <c r="F1" s="42" t="s">
        <v>8</v>
      </c>
      <c r="G1" s="43" t="s">
        <v>9</v>
      </c>
      <c r="H1" s="42" t="s">
        <v>10</v>
      </c>
      <c r="I1" s="43" t="s">
        <v>11</v>
      </c>
    </row>
    <row r="2" spans="1:9" ht="36" customHeight="1">
      <c r="A2" s="16">
        <v>1</v>
      </c>
      <c r="B2" s="17">
        <v>1</v>
      </c>
      <c r="C2" s="16" t="s">
        <v>12</v>
      </c>
      <c r="D2" s="62" t="s">
        <v>13</v>
      </c>
      <c r="E2" s="16" t="s">
        <v>12</v>
      </c>
      <c r="F2" s="16"/>
      <c r="G2" s="18">
        <v>46053</v>
      </c>
      <c r="H2" s="19"/>
      <c r="I2" s="18"/>
    </row>
    <row r="3" spans="1:9" ht="36" customHeight="1">
      <c r="A3" s="2">
        <v>2</v>
      </c>
      <c r="B3" s="3"/>
      <c r="C3" s="2"/>
      <c r="D3" s="6"/>
      <c r="E3" s="4"/>
      <c r="F3" s="4"/>
      <c r="G3" s="5"/>
      <c r="H3" s="6"/>
      <c r="I3" s="5"/>
    </row>
    <row r="4" spans="1:9" ht="36" customHeight="1">
      <c r="A4" s="2">
        <v>3</v>
      </c>
      <c r="B4" s="3"/>
      <c r="C4" s="2"/>
      <c r="D4" s="63"/>
      <c r="E4" s="7"/>
      <c r="F4" s="7"/>
      <c r="G4" s="8"/>
      <c r="H4" s="7"/>
      <c r="I4" s="8"/>
    </row>
    <row r="5" spans="1:9" ht="36" customHeight="1">
      <c r="A5" s="2">
        <v>4</v>
      </c>
      <c r="B5" s="9"/>
      <c r="C5" s="10"/>
      <c r="D5" s="64"/>
      <c r="E5" s="7"/>
      <c r="F5" s="7"/>
      <c r="G5" s="8"/>
      <c r="H5" s="7"/>
      <c r="I5" s="8"/>
    </row>
    <row r="6" spans="1:9" ht="36" customHeight="1">
      <c r="A6" s="2">
        <v>5</v>
      </c>
      <c r="B6" s="9"/>
      <c r="C6" s="10"/>
      <c r="D6" s="64"/>
      <c r="E6" s="7"/>
      <c r="F6" s="7"/>
      <c r="G6" s="8"/>
      <c r="H6" s="7"/>
      <c r="I6" s="8"/>
    </row>
    <row r="7" spans="1:9" ht="36" customHeight="1">
      <c r="A7" s="2">
        <v>6</v>
      </c>
      <c r="B7" s="9"/>
      <c r="C7" s="10"/>
      <c r="D7" s="64"/>
      <c r="E7" s="7"/>
      <c r="F7" s="7"/>
      <c r="G7" s="8"/>
      <c r="H7" s="7"/>
      <c r="I7" s="8"/>
    </row>
    <row r="8" spans="1:9" ht="36" customHeight="1">
      <c r="A8" s="2">
        <v>7</v>
      </c>
      <c r="B8" s="9"/>
      <c r="C8" s="10"/>
      <c r="D8" s="64"/>
      <c r="E8" s="7"/>
      <c r="F8" s="7"/>
      <c r="G8" s="8"/>
      <c r="H8" s="7"/>
      <c r="I8" s="8"/>
    </row>
    <row r="9" spans="1:9" ht="36" customHeight="1">
      <c r="A9" s="2">
        <v>8</v>
      </c>
      <c r="B9" s="9"/>
      <c r="C9" s="10"/>
      <c r="D9" s="64"/>
      <c r="E9" s="7"/>
      <c r="F9" s="7"/>
      <c r="G9" s="8"/>
      <c r="H9" s="7"/>
      <c r="I9" s="8"/>
    </row>
    <row r="10" spans="1:9" ht="36" customHeight="1">
      <c r="A10" s="2">
        <v>9</v>
      </c>
      <c r="B10" s="9"/>
      <c r="C10" s="10"/>
      <c r="D10" s="64"/>
      <c r="E10" s="7"/>
      <c r="F10" s="7"/>
      <c r="G10" s="8"/>
      <c r="H10" s="7"/>
      <c r="I10" s="8"/>
    </row>
    <row r="11" spans="1:9" ht="36" customHeight="1">
      <c r="A11" s="2">
        <v>10</v>
      </c>
      <c r="B11" s="9"/>
      <c r="C11" s="10"/>
      <c r="D11" s="64"/>
      <c r="E11" s="7"/>
      <c r="F11" s="7"/>
      <c r="G11" s="8"/>
      <c r="H11" s="7"/>
      <c r="I11" s="8"/>
    </row>
    <row r="12" spans="1:9" ht="36" customHeight="1">
      <c r="A12" s="2">
        <v>11</v>
      </c>
      <c r="B12" s="9"/>
      <c r="C12" s="10"/>
      <c r="D12" s="64"/>
      <c r="E12" s="7"/>
      <c r="F12" s="7"/>
      <c r="G12" s="8"/>
      <c r="H12" s="7"/>
      <c r="I12" s="8"/>
    </row>
    <row r="13" spans="1:9" ht="36" customHeight="1">
      <c r="A13" s="2">
        <v>12</v>
      </c>
      <c r="B13" s="9"/>
      <c r="C13" s="10"/>
      <c r="D13" s="64"/>
      <c r="E13" s="7"/>
      <c r="F13" s="7"/>
      <c r="G13" s="8"/>
      <c r="H13" s="7"/>
      <c r="I13" s="8"/>
    </row>
    <row r="14" spans="1:9" ht="36" customHeight="1">
      <c r="A14" s="2">
        <v>13</v>
      </c>
      <c r="B14" s="9"/>
      <c r="C14" s="10"/>
      <c r="D14" s="64"/>
      <c r="E14" s="7"/>
      <c r="F14" s="7"/>
      <c r="G14" s="8"/>
      <c r="H14" s="7"/>
      <c r="I14" s="8"/>
    </row>
    <row r="15" spans="1:9" ht="36" customHeight="1">
      <c r="A15" s="2">
        <v>14</v>
      </c>
      <c r="B15" s="9"/>
      <c r="C15" s="10"/>
      <c r="D15" s="64"/>
      <c r="E15" s="7"/>
      <c r="F15" s="7"/>
      <c r="G15" s="8"/>
      <c r="H15" s="7"/>
      <c r="I15" s="8"/>
    </row>
    <row r="16" spans="1:9" ht="36" customHeight="1">
      <c r="A16" s="2">
        <v>15</v>
      </c>
      <c r="B16" s="9"/>
      <c r="C16" s="10"/>
      <c r="D16" s="64"/>
      <c r="E16" s="7"/>
      <c r="F16" s="7"/>
      <c r="G16" s="8"/>
      <c r="H16" s="7"/>
      <c r="I16" s="8"/>
    </row>
    <row r="17" spans="1:9" ht="36" customHeight="1">
      <c r="A17" s="2">
        <v>16</v>
      </c>
      <c r="B17" s="9"/>
      <c r="C17" s="10"/>
      <c r="D17" s="64"/>
      <c r="E17" s="7"/>
      <c r="F17" s="7"/>
      <c r="G17" s="8"/>
      <c r="H17" s="7"/>
      <c r="I17" s="8"/>
    </row>
    <row r="18" spans="1:9" ht="36" customHeight="1">
      <c r="A18" s="2">
        <v>17</v>
      </c>
      <c r="B18" s="9"/>
      <c r="C18" s="10"/>
      <c r="D18" s="64"/>
      <c r="E18" s="7"/>
      <c r="F18" s="7"/>
      <c r="G18" s="8"/>
      <c r="H18" s="7"/>
      <c r="I18" s="8"/>
    </row>
    <row r="19" spans="1:9" ht="36" customHeight="1">
      <c r="A19" s="2">
        <v>18</v>
      </c>
      <c r="B19" s="9"/>
      <c r="C19" s="10"/>
      <c r="D19" s="64"/>
      <c r="E19" s="7"/>
      <c r="F19" s="7"/>
      <c r="G19" s="8"/>
      <c r="H19" s="7"/>
      <c r="I19" s="8"/>
    </row>
    <row r="20" spans="1:9" ht="36" customHeight="1">
      <c r="A20" s="2">
        <v>19</v>
      </c>
      <c r="B20" s="9"/>
      <c r="C20" s="10"/>
      <c r="D20" s="64"/>
      <c r="E20" s="7"/>
      <c r="F20" s="7"/>
      <c r="G20" s="8"/>
      <c r="H20" s="7"/>
      <c r="I20" s="8"/>
    </row>
    <row r="21" spans="1:9" ht="36" customHeight="1">
      <c r="A21" s="2">
        <v>20</v>
      </c>
      <c r="B21" s="9"/>
      <c r="C21" s="10"/>
      <c r="D21" s="64"/>
      <c r="E21" s="7"/>
      <c r="F21" s="7"/>
      <c r="G21" s="8"/>
      <c r="H21" s="7"/>
      <c r="I21" s="8"/>
    </row>
  </sheetData>
  <autoFilter ref="A1:I1" xr:uid="{00000000-0001-0000-0000-000000000000}"/>
  <phoneticPr fontId="1"/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681A-11B4-414F-9967-E6C8D0ACDA23}">
  <dimension ref="B2:AB35"/>
  <sheetViews>
    <sheetView showGridLines="0" zoomScaleNormal="100" zoomScaleSheetLayoutView="7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88671875" defaultRowHeight="15" customHeight="1"/>
  <cols>
    <col min="1" max="1" width="2.88671875" style="13" customWidth="1"/>
    <col min="2" max="2" width="18.6640625" style="13" customWidth="1"/>
    <col min="3" max="3" width="22.5546875" style="13" bestFit="1" customWidth="1"/>
    <col min="4" max="6" width="18.6640625" style="13" customWidth="1"/>
    <col min="7" max="8" width="18.6640625" style="21" customWidth="1"/>
    <col min="9" max="10" width="36.6640625" style="21" customWidth="1"/>
    <col min="11" max="11" width="28.21875" style="21" customWidth="1"/>
    <col min="12" max="12" width="26.5546875" style="13" customWidth="1"/>
    <col min="13" max="13" width="3.44140625" style="13" customWidth="1"/>
    <col min="14" max="15" width="8.44140625" style="13" customWidth="1"/>
    <col min="16" max="16" width="3.109375" style="13" customWidth="1"/>
    <col min="17" max="17" width="17.109375" style="13" customWidth="1"/>
    <col min="18" max="18" width="3.5546875" style="13" customWidth="1"/>
    <col min="19" max="19" width="4.44140625" style="13" customWidth="1"/>
    <col min="20" max="20" width="7.21875" style="13" customWidth="1"/>
    <col min="21" max="21" width="12.5546875" style="13" customWidth="1"/>
    <col min="22" max="22" width="7.44140625" style="13" customWidth="1"/>
    <col min="23" max="23" width="6.33203125" style="13" customWidth="1" collapsed="1"/>
    <col min="24" max="24" width="7.109375" style="13" customWidth="1"/>
    <col min="25" max="25" width="46.6640625" style="21" customWidth="1"/>
    <col min="26" max="26" width="22.33203125" style="21" customWidth="1"/>
    <col min="27" max="27" width="8.88671875" style="14" customWidth="1"/>
    <col min="28" max="28" width="17.44140625" style="14" customWidth="1"/>
    <col min="29" max="16384" width="8.88671875" style="13"/>
  </cols>
  <sheetData>
    <row r="2" spans="2:28" ht="15" customHeight="1">
      <c r="B2" s="38" t="s">
        <v>14</v>
      </c>
      <c r="C2" s="20"/>
      <c r="D2" s="39" t="s">
        <v>15</v>
      </c>
      <c r="E2" s="40"/>
      <c r="G2" s="13"/>
      <c r="H2" s="13"/>
      <c r="X2" s="21"/>
      <c r="Z2" s="14"/>
      <c r="AB2" s="13"/>
    </row>
    <row r="4" spans="2:28" ht="15" customHeight="1">
      <c r="B4" s="83" t="s">
        <v>16</v>
      </c>
      <c r="C4" s="83"/>
      <c r="D4" s="83"/>
      <c r="E4" s="83"/>
      <c r="F4" s="83"/>
      <c r="G4" s="83"/>
      <c r="H4" s="83"/>
      <c r="I4" s="83"/>
      <c r="J4" s="83"/>
      <c r="K4" s="21" t="s">
        <v>17</v>
      </c>
      <c r="X4" s="21"/>
      <c r="Z4" s="14"/>
      <c r="AB4" s="13"/>
    </row>
    <row r="5" spans="2:28" ht="55.15" customHeight="1">
      <c r="B5" s="31" t="s">
        <v>18</v>
      </c>
      <c r="C5" s="32" t="s">
        <v>19</v>
      </c>
      <c r="D5" s="31" t="s">
        <v>20</v>
      </c>
      <c r="E5" s="31" t="s">
        <v>21</v>
      </c>
      <c r="F5" s="31" t="s">
        <v>22</v>
      </c>
      <c r="G5" s="32" t="s">
        <v>23</v>
      </c>
      <c r="H5" s="32" t="s">
        <v>24</v>
      </c>
      <c r="I5" s="32" t="s">
        <v>25</v>
      </c>
      <c r="J5" s="32" t="s">
        <v>26</v>
      </c>
      <c r="K5" s="21" t="s">
        <v>17</v>
      </c>
      <c r="S5" s="14"/>
      <c r="X5" s="21"/>
      <c r="Z5" s="13"/>
      <c r="AA5" s="13"/>
      <c r="AB5" s="13"/>
    </row>
    <row r="6" spans="2:28" ht="55.15" customHeight="1">
      <c r="B6" s="27" t="s">
        <v>27</v>
      </c>
      <c r="C6" s="27" t="s">
        <v>169</v>
      </c>
      <c r="D6" s="27" t="s">
        <v>28</v>
      </c>
      <c r="E6" s="27" t="s">
        <v>27</v>
      </c>
      <c r="F6" s="27" t="s">
        <v>168</v>
      </c>
      <c r="G6" s="29" t="s">
        <v>29</v>
      </c>
      <c r="H6" s="29"/>
      <c r="I6" s="29"/>
      <c r="J6" s="29"/>
      <c r="K6" s="21" t="s">
        <v>17</v>
      </c>
    </row>
    <row r="7" spans="2:28" ht="55.15" customHeight="1">
      <c r="B7" s="27" t="s">
        <v>27</v>
      </c>
      <c r="C7" s="27" t="s">
        <v>170</v>
      </c>
      <c r="D7" s="27" t="s">
        <v>28</v>
      </c>
      <c r="E7" s="27" t="s">
        <v>27</v>
      </c>
      <c r="F7" s="27" t="s">
        <v>168</v>
      </c>
      <c r="G7" s="29" t="s">
        <v>29</v>
      </c>
      <c r="H7" s="29"/>
      <c r="I7" s="29"/>
      <c r="J7" s="29"/>
      <c r="K7" s="21" t="s">
        <v>17</v>
      </c>
    </row>
    <row r="8" spans="2:28" ht="55.15" customHeight="1">
      <c r="B8" s="27"/>
      <c r="C8" s="27"/>
      <c r="D8" s="27"/>
      <c r="E8" s="27"/>
      <c r="F8" s="27"/>
      <c r="G8" s="29"/>
      <c r="H8" s="29"/>
      <c r="I8" s="29"/>
      <c r="J8" s="29"/>
      <c r="K8" s="21" t="s">
        <v>17</v>
      </c>
    </row>
    <row r="9" spans="2:28" ht="55.15" customHeight="1">
      <c r="B9" s="27"/>
      <c r="C9" s="27"/>
      <c r="D9" s="27"/>
      <c r="E9" s="27"/>
      <c r="F9" s="27"/>
      <c r="G9" s="29"/>
      <c r="H9" s="29"/>
      <c r="I9" s="29"/>
      <c r="J9" s="29"/>
      <c r="K9" s="21" t="s">
        <v>17</v>
      </c>
    </row>
    <row r="10" spans="2:28" ht="55.15" customHeight="1">
      <c r="B10" s="27"/>
      <c r="C10" s="27"/>
      <c r="D10" s="27"/>
      <c r="E10" s="27"/>
      <c r="F10" s="27"/>
      <c r="G10" s="29"/>
      <c r="H10" s="29"/>
      <c r="I10" s="29"/>
      <c r="J10" s="29"/>
      <c r="K10" s="21" t="s">
        <v>17</v>
      </c>
    </row>
    <row r="11" spans="2:28" ht="55.15" customHeight="1">
      <c r="B11" s="27"/>
      <c r="C11" s="27"/>
      <c r="D11" s="27"/>
      <c r="E11" s="27"/>
      <c r="F11" s="27"/>
      <c r="G11" s="29"/>
      <c r="H11" s="29"/>
      <c r="I11" s="29"/>
      <c r="J11" s="29"/>
      <c r="K11" s="21" t="s">
        <v>17</v>
      </c>
    </row>
    <row r="12" spans="2:28" ht="55.15" customHeight="1">
      <c r="B12" s="27"/>
      <c r="C12" s="27"/>
      <c r="D12" s="27"/>
      <c r="E12" s="27"/>
      <c r="F12" s="27"/>
      <c r="G12" s="29"/>
      <c r="H12" s="29"/>
      <c r="I12" s="29"/>
      <c r="J12" s="29"/>
      <c r="K12" s="21" t="s">
        <v>17</v>
      </c>
    </row>
    <row r="13" spans="2:28" ht="55.15" customHeight="1">
      <c r="B13" s="27"/>
      <c r="C13" s="27"/>
      <c r="D13" s="27"/>
      <c r="E13" s="27"/>
      <c r="F13" s="27"/>
      <c r="G13" s="29"/>
      <c r="H13" s="29"/>
      <c r="I13" s="29"/>
      <c r="J13" s="29"/>
      <c r="K13" s="21" t="s">
        <v>17</v>
      </c>
    </row>
    <row r="14" spans="2:28" ht="55.15" customHeight="1">
      <c r="B14" s="27"/>
      <c r="C14" s="27"/>
      <c r="D14" s="27"/>
      <c r="E14" s="27"/>
      <c r="F14" s="27"/>
      <c r="G14" s="29"/>
      <c r="H14" s="29"/>
      <c r="I14" s="29"/>
      <c r="J14" s="29"/>
      <c r="K14" s="21" t="s">
        <v>17</v>
      </c>
    </row>
    <row r="15" spans="2:28" ht="55.15" customHeight="1">
      <c r="B15" s="27"/>
      <c r="C15" s="27"/>
      <c r="D15" s="27"/>
      <c r="E15" s="27"/>
      <c r="F15" s="27"/>
      <c r="G15" s="29"/>
      <c r="H15" s="29"/>
      <c r="I15" s="29"/>
      <c r="J15" s="29"/>
      <c r="K15" s="21" t="s">
        <v>17</v>
      </c>
    </row>
    <row r="16" spans="2:28" ht="55.15" customHeight="1">
      <c r="B16" s="27"/>
      <c r="C16" s="27"/>
      <c r="D16" s="27"/>
      <c r="E16" s="27"/>
      <c r="F16" s="27"/>
      <c r="G16" s="29"/>
      <c r="H16" s="29"/>
      <c r="I16" s="29"/>
      <c r="J16" s="29"/>
      <c r="K16" s="21" t="s">
        <v>17</v>
      </c>
    </row>
    <row r="17" spans="2:11" ht="55.15" customHeight="1">
      <c r="B17" s="27"/>
      <c r="C17" s="27"/>
      <c r="D17" s="27"/>
      <c r="E17" s="27"/>
      <c r="F17" s="27"/>
      <c r="G17" s="29"/>
      <c r="H17" s="29"/>
      <c r="I17" s="29"/>
      <c r="J17" s="29"/>
      <c r="K17" s="21" t="s">
        <v>17</v>
      </c>
    </row>
    <row r="18" spans="2:11" ht="55.15" customHeight="1">
      <c r="B18" s="27"/>
      <c r="C18" s="27"/>
      <c r="D18" s="27"/>
      <c r="E18" s="27"/>
      <c r="F18" s="27"/>
      <c r="G18" s="29"/>
      <c r="H18" s="29"/>
      <c r="I18" s="29"/>
      <c r="J18" s="29"/>
      <c r="K18" s="21" t="s">
        <v>17</v>
      </c>
    </row>
    <row r="19" spans="2:11" ht="55.15" customHeight="1">
      <c r="B19" s="27"/>
      <c r="C19" s="27"/>
      <c r="D19" s="27"/>
      <c r="E19" s="27"/>
      <c r="F19" s="27"/>
      <c r="G19" s="29"/>
      <c r="H19" s="29"/>
      <c r="I19" s="29"/>
      <c r="J19" s="29"/>
      <c r="K19" s="21" t="s">
        <v>17</v>
      </c>
    </row>
    <row r="20" spans="2:11" ht="55.15" customHeight="1">
      <c r="B20" s="27"/>
      <c r="C20" s="27"/>
      <c r="D20" s="27"/>
      <c r="E20" s="27"/>
      <c r="F20" s="27"/>
      <c r="G20" s="29"/>
      <c r="H20" s="29"/>
      <c r="I20" s="29"/>
      <c r="J20" s="29"/>
      <c r="K20" s="21" t="s">
        <v>17</v>
      </c>
    </row>
    <row r="21" spans="2:11" ht="55.15" customHeight="1">
      <c r="B21" s="27"/>
      <c r="C21" s="27"/>
      <c r="D21" s="27"/>
      <c r="E21" s="27"/>
      <c r="F21" s="27"/>
      <c r="G21" s="29"/>
      <c r="H21" s="29"/>
      <c r="I21" s="29"/>
      <c r="J21" s="29"/>
      <c r="K21" s="21" t="s">
        <v>17</v>
      </c>
    </row>
    <row r="22" spans="2:11" ht="55.15" customHeight="1">
      <c r="B22" s="27"/>
      <c r="C22" s="27"/>
      <c r="D22" s="27"/>
      <c r="E22" s="27"/>
      <c r="F22" s="27"/>
      <c r="G22" s="29"/>
      <c r="H22" s="29"/>
      <c r="I22" s="29"/>
      <c r="J22" s="29"/>
      <c r="K22" s="21" t="s">
        <v>17</v>
      </c>
    </row>
    <row r="23" spans="2:11" ht="55.15" customHeight="1">
      <c r="B23" s="27"/>
      <c r="C23" s="27"/>
      <c r="D23" s="27"/>
      <c r="E23" s="27"/>
      <c r="F23" s="27"/>
      <c r="G23" s="29"/>
      <c r="H23" s="29"/>
      <c r="I23" s="29"/>
      <c r="J23" s="29"/>
      <c r="K23" s="21" t="s">
        <v>17</v>
      </c>
    </row>
    <row r="24" spans="2:11" ht="55.15" customHeight="1">
      <c r="B24" s="27"/>
      <c r="C24" s="27"/>
      <c r="D24" s="27"/>
      <c r="E24" s="27"/>
      <c r="F24" s="27"/>
      <c r="G24" s="29"/>
      <c r="H24" s="29"/>
      <c r="I24" s="29"/>
      <c r="J24" s="29"/>
      <c r="K24" s="21" t="s">
        <v>17</v>
      </c>
    </row>
    <row r="25" spans="2:11" ht="55.15" customHeight="1">
      <c r="B25" s="27"/>
      <c r="C25" s="27"/>
      <c r="D25" s="27"/>
      <c r="E25" s="27"/>
      <c r="F25" s="27"/>
      <c r="G25" s="29"/>
      <c r="H25" s="29"/>
      <c r="I25" s="29"/>
      <c r="J25" s="29"/>
      <c r="K25" s="21" t="s">
        <v>17</v>
      </c>
    </row>
    <row r="26" spans="2:11" ht="55.15" customHeight="1">
      <c r="B26" s="27"/>
      <c r="C26" s="27"/>
      <c r="D26" s="27"/>
      <c r="E26" s="27"/>
      <c r="F26" s="27"/>
      <c r="G26" s="29"/>
      <c r="H26" s="29"/>
      <c r="I26" s="29"/>
      <c r="J26" s="29"/>
      <c r="K26" s="21" t="s">
        <v>17</v>
      </c>
    </row>
    <row r="27" spans="2:11" ht="55.15" customHeight="1">
      <c r="B27" s="27"/>
      <c r="C27" s="27"/>
      <c r="D27" s="27"/>
      <c r="E27" s="27"/>
      <c r="F27" s="27"/>
      <c r="G27" s="29"/>
      <c r="H27" s="29"/>
      <c r="I27" s="29"/>
      <c r="J27" s="29"/>
      <c r="K27" s="21" t="s">
        <v>17</v>
      </c>
    </row>
    <row r="28" spans="2:11" ht="55.15" customHeight="1">
      <c r="B28" s="27"/>
      <c r="C28" s="27"/>
      <c r="D28" s="27"/>
      <c r="E28" s="27"/>
      <c r="F28" s="27"/>
      <c r="G28" s="29"/>
      <c r="H28" s="29"/>
      <c r="I28" s="29"/>
      <c r="J28" s="29"/>
      <c r="K28" s="21" t="s">
        <v>17</v>
      </c>
    </row>
    <row r="29" spans="2:11" ht="55.15" customHeight="1">
      <c r="B29" s="27"/>
      <c r="C29" s="27"/>
      <c r="D29" s="27"/>
      <c r="E29" s="27"/>
      <c r="F29" s="27"/>
      <c r="G29" s="29"/>
      <c r="H29" s="29"/>
      <c r="I29" s="29"/>
      <c r="J29" s="29"/>
      <c r="K29" s="21" t="s">
        <v>17</v>
      </c>
    </row>
    <row r="30" spans="2:11" ht="55.15" customHeight="1">
      <c r="B30" s="27"/>
      <c r="C30" s="27"/>
      <c r="D30" s="27"/>
      <c r="E30" s="27"/>
      <c r="F30" s="27"/>
      <c r="G30" s="29"/>
      <c r="H30" s="29"/>
      <c r="I30" s="29"/>
      <c r="J30" s="29"/>
      <c r="K30" s="21" t="s">
        <v>17</v>
      </c>
    </row>
    <row r="31" spans="2:11" ht="55.15" customHeight="1">
      <c r="B31" s="27"/>
      <c r="C31" s="27"/>
      <c r="D31" s="27"/>
      <c r="E31" s="27"/>
      <c r="F31" s="27"/>
      <c r="G31" s="29"/>
      <c r="H31" s="29"/>
      <c r="I31" s="29"/>
      <c r="J31" s="29"/>
      <c r="K31" s="21" t="s">
        <v>17</v>
      </c>
    </row>
    <row r="32" spans="2:11" ht="55.15" customHeight="1">
      <c r="B32" s="27"/>
      <c r="C32" s="27"/>
      <c r="D32" s="27"/>
      <c r="E32" s="27"/>
      <c r="F32" s="27"/>
      <c r="G32" s="29"/>
      <c r="H32" s="29"/>
      <c r="I32" s="29"/>
      <c r="J32" s="29"/>
      <c r="K32" s="21" t="s">
        <v>17</v>
      </c>
    </row>
    <row r="33" spans="2:11" ht="55.15" customHeight="1">
      <c r="B33" s="27"/>
      <c r="C33" s="27"/>
      <c r="D33" s="27"/>
      <c r="E33" s="27"/>
      <c r="F33" s="27"/>
      <c r="G33" s="29"/>
      <c r="H33" s="29"/>
      <c r="I33" s="29"/>
      <c r="J33" s="29"/>
      <c r="K33" s="21" t="s">
        <v>17</v>
      </c>
    </row>
    <row r="34" spans="2:11" ht="55.15" customHeight="1">
      <c r="B34" s="28"/>
      <c r="C34" s="28"/>
      <c r="D34" s="28"/>
      <c r="E34" s="28"/>
      <c r="F34" s="28"/>
      <c r="G34" s="30"/>
      <c r="H34" s="30"/>
      <c r="I34" s="30"/>
      <c r="J34" s="30"/>
      <c r="K34" s="21" t="s">
        <v>17</v>
      </c>
    </row>
    <row r="35" spans="2:11" ht="15" customHeight="1">
      <c r="B35" s="12" t="s">
        <v>30</v>
      </c>
      <c r="C35" s="12" t="s">
        <v>17</v>
      </c>
      <c r="D35" s="12" t="s">
        <v>17</v>
      </c>
      <c r="E35" s="12" t="s">
        <v>17</v>
      </c>
      <c r="F35" s="12" t="s">
        <v>17</v>
      </c>
      <c r="G35" s="22" t="s">
        <v>17</v>
      </c>
      <c r="H35" s="22" t="s">
        <v>17</v>
      </c>
      <c r="I35" s="22" t="s">
        <v>17</v>
      </c>
      <c r="J35" s="22" t="s">
        <v>17</v>
      </c>
      <c r="K35" s="21" t="s">
        <v>17</v>
      </c>
    </row>
  </sheetData>
  <autoFilter ref="B5:J5" xr:uid="{1C56681A-11B4-414F-9967-E6C8D0ACDA23}"/>
  <mergeCells count="1">
    <mergeCell ref="B4:J4"/>
  </mergeCells>
  <phoneticPr fontId="1"/>
  <pageMargins left="0.7" right="0.7" top="0.75" bottom="0.75" header="0.3" footer="0.3"/>
  <pageSetup paperSize="9" scale="1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3E9DCE-C894-46BE-A460-135434DC2979}">
          <x14:formula1>
            <xm:f>リスト!$B$2:$B$3</xm:f>
          </x14:formula1>
          <xm:sqref>H6:H34</xm:sqref>
        </x14:dataValidation>
        <x14:dataValidation type="list" allowBlank="1" showInputMessage="1" showErrorMessage="1" xr:uid="{3BE599BC-9B4B-4CB1-9B33-DEE7BC50A47C}">
          <x14:formula1>
            <xm:f>リスト!$C$2:$C$13</xm:f>
          </x14:formula1>
          <xm:sqref>I6:I34</xm:sqref>
        </x14:dataValidation>
        <x14:dataValidation type="list" allowBlank="1" showInputMessage="1" showErrorMessage="1" xr:uid="{45804DA2-8495-47BE-82D0-A21FDB575F0F}">
          <x14:formula1>
            <xm:f>リスト!$A$2:$A$9</xm:f>
          </x14:formula1>
          <xm:sqref>D6:D34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1410-1E43-4941-B394-489E4805C6D7}">
  <dimension ref="B2:AE26"/>
  <sheetViews>
    <sheetView showGridLines="0" tabSelected="1" zoomScaleNormal="100" zoomScaleSheetLayoutView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ColWidth="8.88671875" defaultRowHeight="15" customHeight="1" outlineLevelCol="2"/>
  <cols>
    <col min="1" max="1" width="2.88671875" style="13" customWidth="1"/>
    <col min="2" max="2" width="5.6640625" style="74" customWidth="1"/>
    <col min="3" max="3" width="22.21875" style="21" customWidth="1"/>
    <col min="4" max="4" width="12.6640625" style="21" customWidth="1" outlineLevel="1"/>
    <col min="5" max="6" width="10.6640625" style="21" customWidth="1" outlineLevel="1"/>
    <col min="7" max="7" width="18.6640625" style="21" customWidth="1" outlineLevel="1"/>
    <col min="8" max="8" width="32.21875" style="21" customWidth="1" outlineLevel="1"/>
    <col min="9" max="11" width="10.6640625" style="21" customWidth="1" outlineLevel="1"/>
    <col min="12" max="12" width="36.6640625" style="21" customWidth="1" outlineLevel="1"/>
    <col min="13" max="13" width="36.6640625" style="21" customWidth="1"/>
    <col min="14" max="14" width="18.6640625" style="21" customWidth="1" outlineLevel="1"/>
    <col min="15" max="15" width="3.44140625" style="21" customWidth="1"/>
    <col min="16" max="17" width="8.6640625" style="21" customWidth="1" outlineLevel="1"/>
    <col min="18" max="18" width="3.33203125" style="21" customWidth="1"/>
    <col min="19" max="19" width="18.6640625" style="21" customWidth="1"/>
    <col min="20" max="20" width="12.77734375" style="21" customWidth="1" outlineLevel="2"/>
    <col min="21" max="21" width="6.109375" style="21" customWidth="1" outlineLevel="2"/>
    <col min="22" max="22" width="9.6640625" style="21" customWidth="1" outlineLevel="2"/>
    <col min="23" max="23" width="42.109375" style="21" customWidth="1"/>
    <col min="24" max="24" width="28.88671875" style="21" customWidth="1" outlineLevel="1"/>
    <col min="25" max="25" width="9" style="21" customWidth="1" outlineLevel="1"/>
    <col min="26" max="26" width="7.33203125" style="21" customWidth="1" outlineLevel="1" collapsed="1"/>
    <col min="27" max="27" width="5.77734375" style="21" customWidth="1" outlineLevel="1"/>
    <col min="28" max="28" width="40.109375" style="21" customWidth="1"/>
    <col min="29" max="29" width="40.6640625" style="21" customWidth="1"/>
    <col min="30" max="30" width="8.88671875" style="14" customWidth="1"/>
    <col min="31" max="31" width="17.44140625" style="14" customWidth="1"/>
    <col min="32" max="16384" width="8.88671875" style="13"/>
  </cols>
  <sheetData>
    <row r="2" spans="2:31" s="12" customFormat="1" ht="15" customHeight="1">
      <c r="B2" s="73"/>
      <c r="C2" s="22" t="s">
        <v>31</v>
      </c>
      <c r="D2" s="22" t="s">
        <v>32</v>
      </c>
      <c r="E2" s="22" t="s">
        <v>33</v>
      </c>
      <c r="F2" s="22" t="s">
        <v>34</v>
      </c>
      <c r="G2" s="22" t="s">
        <v>35</v>
      </c>
      <c r="H2" s="22" t="s">
        <v>36</v>
      </c>
      <c r="I2" s="22" t="s">
        <v>37</v>
      </c>
      <c r="J2" s="22" t="s">
        <v>38</v>
      </c>
      <c r="K2" s="22" t="s">
        <v>39</v>
      </c>
      <c r="L2" s="22" t="s">
        <v>40</v>
      </c>
      <c r="M2" s="22" t="s">
        <v>41</v>
      </c>
      <c r="N2" s="22" t="s">
        <v>42</v>
      </c>
      <c r="O2" s="66"/>
      <c r="P2" s="22" t="s">
        <v>43</v>
      </c>
      <c r="Q2" s="22" t="s">
        <v>44</v>
      </c>
      <c r="R2" s="22"/>
      <c r="S2" s="22" t="s">
        <v>45</v>
      </c>
      <c r="T2" s="22" t="s">
        <v>46</v>
      </c>
      <c r="U2" s="22" t="s">
        <v>47</v>
      </c>
      <c r="V2" s="22" t="s">
        <v>48</v>
      </c>
      <c r="W2" s="22" t="s">
        <v>49</v>
      </c>
      <c r="X2" s="22" t="s">
        <v>50</v>
      </c>
      <c r="Y2" s="22" t="s">
        <v>51</v>
      </c>
      <c r="Z2" s="22" t="s">
        <v>52</v>
      </c>
      <c r="AA2" s="22" t="s">
        <v>53</v>
      </c>
      <c r="AB2" s="22" t="s">
        <v>54</v>
      </c>
      <c r="AC2" s="22" t="s">
        <v>55</v>
      </c>
      <c r="AD2" s="14"/>
    </row>
    <row r="3" spans="2:31" ht="18.75" customHeight="1">
      <c r="B3" s="85" t="s">
        <v>56</v>
      </c>
      <c r="C3" s="87" t="s">
        <v>57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9"/>
      <c r="O3" s="66"/>
      <c r="P3" s="90" t="s">
        <v>58</v>
      </c>
      <c r="Q3" s="90"/>
      <c r="R3" s="15"/>
      <c r="S3" s="84" t="s">
        <v>59</v>
      </c>
      <c r="T3" s="84"/>
      <c r="U3" s="84"/>
      <c r="V3" s="84"/>
      <c r="W3" s="84"/>
      <c r="X3" s="84"/>
      <c r="Y3" s="84"/>
      <c r="Z3" s="84"/>
      <c r="AA3" s="84"/>
      <c r="AB3" s="84"/>
      <c r="AC3" s="84"/>
      <c r="AD3" s="14" t="s">
        <v>30</v>
      </c>
      <c r="AE3" s="13"/>
    </row>
    <row r="4" spans="2:31" s="12" customFormat="1" ht="49.5">
      <c r="B4" s="86"/>
      <c r="C4" s="33" t="s">
        <v>60</v>
      </c>
      <c r="D4" s="33" t="s">
        <v>61</v>
      </c>
      <c r="E4" s="33" t="s">
        <v>62</v>
      </c>
      <c r="F4" s="33" t="s">
        <v>63</v>
      </c>
      <c r="G4" s="33" t="s">
        <v>64</v>
      </c>
      <c r="H4" s="33" t="s">
        <v>65</v>
      </c>
      <c r="I4" s="33" t="s">
        <v>66</v>
      </c>
      <c r="J4" s="33" t="s">
        <v>67</v>
      </c>
      <c r="K4" s="33" t="s">
        <v>68</v>
      </c>
      <c r="L4" s="33" t="s">
        <v>69</v>
      </c>
      <c r="M4" s="33" t="s">
        <v>26</v>
      </c>
      <c r="N4" s="33" t="s">
        <v>70</v>
      </c>
      <c r="O4" s="66"/>
      <c r="P4" s="35" t="s">
        <v>71</v>
      </c>
      <c r="Q4" s="35" t="s">
        <v>72</v>
      </c>
      <c r="R4" s="15"/>
      <c r="S4" s="34" t="s">
        <v>60</v>
      </c>
      <c r="T4" s="34" t="s">
        <v>73</v>
      </c>
      <c r="U4" s="34" t="s">
        <v>74</v>
      </c>
      <c r="V4" s="34" t="s">
        <v>63</v>
      </c>
      <c r="W4" s="34" t="s">
        <v>75</v>
      </c>
      <c r="X4" s="34" t="s">
        <v>65</v>
      </c>
      <c r="Y4" s="34" t="s">
        <v>66</v>
      </c>
      <c r="Z4" s="34" t="s">
        <v>67</v>
      </c>
      <c r="AA4" s="34" t="s">
        <v>68</v>
      </c>
      <c r="AB4" s="34" t="s">
        <v>26</v>
      </c>
      <c r="AC4" s="34" t="s">
        <v>70</v>
      </c>
      <c r="AD4" s="14" t="s">
        <v>30</v>
      </c>
    </row>
    <row r="5" spans="2:31" ht="16.5">
      <c r="B5" s="75">
        <f>ROW()-4</f>
        <v>1</v>
      </c>
      <c r="C5" s="40"/>
      <c r="D5" s="26"/>
      <c r="E5" s="26"/>
      <c r="F5" s="26"/>
      <c r="G5" s="76"/>
      <c r="H5" s="40"/>
      <c r="I5" s="40"/>
      <c r="J5" s="40"/>
      <c r="K5" s="40"/>
      <c r="L5" s="76"/>
      <c r="M5" s="76"/>
      <c r="N5" s="76"/>
      <c r="O5" s="67"/>
      <c r="P5" s="26"/>
      <c r="Q5" s="26"/>
      <c r="R5" s="68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14" t="s">
        <v>30</v>
      </c>
      <c r="AE5" s="13"/>
    </row>
    <row r="6" spans="2:31" ht="16.5">
      <c r="B6" s="75">
        <f t="shared" ref="B6:B22" si="0">ROW()-4</f>
        <v>2</v>
      </c>
      <c r="C6" s="40"/>
      <c r="D6" s="26"/>
      <c r="E6" s="26"/>
      <c r="F6" s="26"/>
      <c r="G6" s="76"/>
      <c r="H6" s="40"/>
      <c r="I6" s="40"/>
      <c r="J6" s="40"/>
      <c r="K6" s="40"/>
      <c r="L6" s="76"/>
      <c r="M6" s="76"/>
      <c r="N6" s="76"/>
      <c r="O6" s="67"/>
      <c r="P6" s="26"/>
      <c r="Q6" s="26"/>
      <c r="R6" s="68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14" t="s">
        <v>30</v>
      </c>
      <c r="AE6" s="13"/>
    </row>
    <row r="7" spans="2:31" ht="16.5">
      <c r="B7" s="75">
        <f t="shared" si="0"/>
        <v>3</v>
      </c>
      <c r="C7" s="40"/>
      <c r="D7" s="26"/>
      <c r="E7" s="26"/>
      <c r="F7" s="26"/>
      <c r="G7" s="76"/>
      <c r="H7" s="40"/>
      <c r="I7" s="40"/>
      <c r="J7" s="40"/>
      <c r="K7" s="40"/>
      <c r="L7" s="76"/>
      <c r="M7" s="76"/>
      <c r="N7" s="76"/>
      <c r="O7" s="67"/>
      <c r="P7" s="26"/>
      <c r="Q7" s="26"/>
      <c r="R7" s="6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14" t="s">
        <v>30</v>
      </c>
      <c r="AE7" s="13"/>
    </row>
    <row r="8" spans="2:31" ht="16.5">
      <c r="B8" s="75">
        <f t="shared" si="0"/>
        <v>4</v>
      </c>
      <c r="C8" s="40"/>
      <c r="D8" s="26"/>
      <c r="E8" s="26"/>
      <c r="F8" s="26"/>
      <c r="G8" s="76"/>
      <c r="H8" s="40"/>
      <c r="I8" s="40"/>
      <c r="J8" s="40"/>
      <c r="K8" s="40"/>
      <c r="L8" s="76"/>
      <c r="M8" s="76"/>
      <c r="N8" s="76"/>
      <c r="O8" s="67"/>
      <c r="P8" s="26"/>
      <c r="Q8" s="26"/>
      <c r="R8" s="6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14" t="s">
        <v>30</v>
      </c>
      <c r="AE8" s="13"/>
    </row>
    <row r="9" spans="2:31" ht="16.5">
      <c r="B9" s="75">
        <f t="shared" si="0"/>
        <v>5</v>
      </c>
      <c r="C9" s="40"/>
      <c r="D9" s="26"/>
      <c r="E9" s="26"/>
      <c r="F9" s="26"/>
      <c r="G9" s="76"/>
      <c r="H9" s="40"/>
      <c r="I9" s="40"/>
      <c r="J9" s="40"/>
      <c r="K9" s="40"/>
      <c r="L9" s="76"/>
      <c r="M9" s="76"/>
      <c r="N9" s="76"/>
      <c r="O9" s="67"/>
      <c r="P9" s="26"/>
      <c r="Q9" s="26"/>
      <c r="R9" s="6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14" t="s">
        <v>30</v>
      </c>
      <c r="AE9" s="13"/>
    </row>
    <row r="10" spans="2:31" ht="16.5">
      <c r="B10" s="75">
        <f t="shared" si="0"/>
        <v>6</v>
      </c>
      <c r="C10" s="40"/>
      <c r="D10" s="26"/>
      <c r="E10" s="26"/>
      <c r="F10" s="26"/>
      <c r="G10" s="76"/>
      <c r="H10" s="40"/>
      <c r="I10" s="40"/>
      <c r="J10" s="40"/>
      <c r="K10" s="40"/>
      <c r="L10" s="76"/>
      <c r="M10" s="76"/>
      <c r="N10" s="76"/>
      <c r="O10" s="67"/>
      <c r="P10" s="26"/>
      <c r="Q10" s="26"/>
      <c r="R10" s="6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14" t="s">
        <v>30</v>
      </c>
      <c r="AE10" s="13"/>
    </row>
    <row r="11" spans="2:31" ht="16.5">
      <c r="B11" s="75">
        <f t="shared" si="0"/>
        <v>7</v>
      </c>
      <c r="C11" s="40"/>
      <c r="D11" s="26"/>
      <c r="E11" s="26"/>
      <c r="F11" s="26"/>
      <c r="G11" s="76"/>
      <c r="H11" s="40"/>
      <c r="I11" s="40"/>
      <c r="J11" s="40"/>
      <c r="K11" s="40"/>
      <c r="L11" s="76"/>
      <c r="M11" s="76"/>
      <c r="N11" s="76"/>
      <c r="O11" s="67"/>
      <c r="P11" s="26"/>
      <c r="Q11" s="26"/>
      <c r="R11" s="6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14" t="s">
        <v>30</v>
      </c>
      <c r="AE11" s="13"/>
    </row>
    <row r="12" spans="2:31" ht="16.5">
      <c r="B12" s="75">
        <f t="shared" si="0"/>
        <v>8</v>
      </c>
      <c r="C12" s="40"/>
      <c r="D12" s="26"/>
      <c r="E12" s="26"/>
      <c r="F12" s="26"/>
      <c r="G12" s="76"/>
      <c r="H12" s="40"/>
      <c r="I12" s="40"/>
      <c r="J12" s="40"/>
      <c r="K12" s="40"/>
      <c r="L12" s="76"/>
      <c r="M12" s="76"/>
      <c r="N12" s="76"/>
      <c r="O12" s="67"/>
      <c r="P12" s="26"/>
      <c r="Q12" s="26"/>
      <c r="R12" s="6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14" t="s">
        <v>30</v>
      </c>
      <c r="AE12" s="13"/>
    </row>
    <row r="13" spans="2:31" ht="16.5">
      <c r="B13" s="75">
        <f t="shared" si="0"/>
        <v>9</v>
      </c>
      <c r="C13" s="40"/>
      <c r="D13" s="26"/>
      <c r="E13" s="26"/>
      <c r="F13" s="26"/>
      <c r="G13" s="76"/>
      <c r="H13" s="40"/>
      <c r="I13" s="40"/>
      <c r="J13" s="40"/>
      <c r="K13" s="40"/>
      <c r="L13" s="76"/>
      <c r="M13" s="76"/>
      <c r="N13" s="76"/>
      <c r="O13" s="67"/>
      <c r="P13" s="26"/>
      <c r="Q13" s="26"/>
      <c r="R13" s="6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14" t="s">
        <v>30</v>
      </c>
      <c r="AE13" s="13"/>
    </row>
    <row r="14" spans="2:31" ht="16.5">
      <c r="B14" s="75">
        <f>ROW()-4</f>
        <v>10</v>
      </c>
      <c r="C14" s="40"/>
      <c r="D14" s="26"/>
      <c r="E14" s="26"/>
      <c r="F14" s="26"/>
      <c r="G14" s="76"/>
      <c r="H14" s="40"/>
      <c r="I14" s="40"/>
      <c r="J14" s="40"/>
      <c r="K14" s="40"/>
      <c r="L14" s="76"/>
      <c r="M14" s="76"/>
      <c r="N14" s="76"/>
      <c r="O14" s="67"/>
      <c r="P14" s="26"/>
      <c r="Q14" s="26"/>
      <c r="R14" s="6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14" t="s">
        <v>30</v>
      </c>
      <c r="AE14" s="13"/>
    </row>
    <row r="15" spans="2:31" ht="16.5">
      <c r="B15" s="75">
        <f t="shared" si="0"/>
        <v>11</v>
      </c>
      <c r="C15" s="40"/>
      <c r="D15" s="26"/>
      <c r="E15" s="26"/>
      <c r="F15" s="26"/>
      <c r="G15" s="76"/>
      <c r="H15" s="40"/>
      <c r="I15" s="40"/>
      <c r="J15" s="40"/>
      <c r="K15" s="40"/>
      <c r="L15" s="76"/>
      <c r="M15" s="76"/>
      <c r="N15" s="76"/>
      <c r="O15" s="67"/>
      <c r="P15" s="26"/>
      <c r="Q15" s="26"/>
      <c r="R15" s="6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14" t="s">
        <v>30</v>
      </c>
      <c r="AE15" s="13"/>
    </row>
    <row r="16" spans="2:31" ht="16.5">
      <c r="B16" s="75">
        <f t="shared" si="0"/>
        <v>12</v>
      </c>
      <c r="C16" s="40"/>
      <c r="D16" s="26"/>
      <c r="E16" s="26"/>
      <c r="F16" s="26"/>
      <c r="G16" s="76"/>
      <c r="H16" s="40"/>
      <c r="I16" s="40"/>
      <c r="J16" s="40"/>
      <c r="K16" s="40"/>
      <c r="L16" s="76"/>
      <c r="M16" s="76"/>
      <c r="N16" s="76"/>
      <c r="O16" s="67"/>
      <c r="P16" s="26"/>
      <c r="Q16" s="26"/>
      <c r="R16" s="6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14" t="s">
        <v>30</v>
      </c>
      <c r="AE16" s="13"/>
    </row>
    <row r="17" spans="2:31" ht="16.5">
      <c r="B17" s="75">
        <f t="shared" si="0"/>
        <v>13</v>
      </c>
      <c r="C17" s="40"/>
      <c r="D17" s="26"/>
      <c r="E17" s="26"/>
      <c r="F17" s="26"/>
      <c r="G17" s="76"/>
      <c r="H17" s="40"/>
      <c r="I17" s="40"/>
      <c r="J17" s="40"/>
      <c r="K17" s="40"/>
      <c r="L17" s="76"/>
      <c r="M17" s="76"/>
      <c r="N17" s="76"/>
      <c r="O17" s="67"/>
      <c r="P17" s="26"/>
      <c r="Q17" s="26"/>
      <c r="R17" s="6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14" t="s">
        <v>30</v>
      </c>
      <c r="AE17" s="13"/>
    </row>
    <row r="18" spans="2:31" ht="16.5">
      <c r="B18" s="75">
        <f t="shared" si="0"/>
        <v>14</v>
      </c>
      <c r="C18" s="40"/>
      <c r="D18" s="26"/>
      <c r="E18" s="26"/>
      <c r="F18" s="26"/>
      <c r="G18" s="76"/>
      <c r="H18" s="40"/>
      <c r="I18" s="40"/>
      <c r="J18" s="40"/>
      <c r="K18" s="40"/>
      <c r="L18" s="76"/>
      <c r="M18" s="76"/>
      <c r="N18" s="76"/>
      <c r="O18" s="67"/>
      <c r="P18" s="26"/>
      <c r="Q18" s="26"/>
      <c r="R18" s="6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14" t="s">
        <v>30</v>
      </c>
      <c r="AE18" s="13"/>
    </row>
    <row r="19" spans="2:31" ht="16.5">
      <c r="B19" s="75">
        <f t="shared" si="0"/>
        <v>15</v>
      </c>
      <c r="C19" s="40"/>
      <c r="D19" s="26"/>
      <c r="E19" s="26"/>
      <c r="F19" s="26"/>
      <c r="G19" s="76"/>
      <c r="H19" s="40"/>
      <c r="I19" s="40"/>
      <c r="J19" s="40"/>
      <c r="K19" s="40"/>
      <c r="L19" s="76"/>
      <c r="M19" s="76"/>
      <c r="N19" s="76"/>
      <c r="O19" s="67"/>
      <c r="P19" s="26"/>
      <c r="Q19" s="26"/>
      <c r="R19" s="6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14" t="s">
        <v>30</v>
      </c>
      <c r="AE19" s="13"/>
    </row>
    <row r="20" spans="2:31" ht="16.5">
      <c r="B20" s="75">
        <f t="shared" si="0"/>
        <v>16</v>
      </c>
      <c r="C20" s="40"/>
      <c r="D20" s="26"/>
      <c r="E20" s="26"/>
      <c r="F20" s="26"/>
      <c r="G20" s="76"/>
      <c r="H20" s="40"/>
      <c r="I20" s="40"/>
      <c r="J20" s="40"/>
      <c r="K20" s="40"/>
      <c r="L20" s="76"/>
      <c r="M20" s="76"/>
      <c r="N20" s="76"/>
      <c r="O20" s="67"/>
      <c r="P20" s="26"/>
      <c r="Q20" s="26"/>
      <c r="R20" s="6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14" t="s">
        <v>30</v>
      </c>
      <c r="AE20" s="13"/>
    </row>
    <row r="21" spans="2:31" ht="16.5">
      <c r="B21" s="75">
        <f t="shared" si="0"/>
        <v>17</v>
      </c>
      <c r="C21" s="40"/>
      <c r="D21" s="26"/>
      <c r="E21" s="26"/>
      <c r="F21" s="26"/>
      <c r="G21" s="76"/>
      <c r="H21" s="40"/>
      <c r="I21" s="40"/>
      <c r="J21" s="40"/>
      <c r="K21" s="40"/>
      <c r="L21" s="76"/>
      <c r="M21" s="76"/>
      <c r="N21" s="76"/>
      <c r="O21" s="67"/>
      <c r="P21" s="26"/>
      <c r="Q21" s="26"/>
      <c r="R21" s="6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14" t="s">
        <v>30</v>
      </c>
      <c r="AE21" s="13"/>
    </row>
    <row r="22" spans="2:31" ht="16.5">
      <c r="B22" s="75">
        <f t="shared" si="0"/>
        <v>18</v>
      </c>
      <c r="C22" s="40"/>
      <c r="D22" s="26"/>
      <c r="E22" s="26"/>
      <c r="F22" s="26"/>
      <c r="G22" s="76"/>
      <c r="H22" s="40"/>
      <c r="I22" s="40"/>
      <c r="J22" s="40"/>
      <c r="K22" s="40"/>
      <c r="L22" s="76"/>
      <c r="M22" s="76"/>
      <c r="N22" s="76"/>
      <c r="O22" s="67"/>
      <c r="P22" s="26"/>
      <c r="Q22" s="26"/>
      <c r="R22" s="6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14" t="s">
        <v>30</v>
      </c>
      <c r="AE22" s="13"/>
    </row>
    <row r="23" spans="2:31" ht="16.5">
      <c r="B23" s="75">
        <f>ROW()-4</f>
        <v>19</v>
      </c>
      <c r="C23" s="40"/>
      <c r="D23" s="26"/>
      <c r="E23" s="26"/>
      <c r="F23" s="26"/>
      <c r="G23" s="76"/>
      <c r="H23" s="40"/>
      <c r="I23" s="40"/>
      <c r="J23" s="40"/>
      <c r="K23" s="40"/>
      <c r="L23" s="76"/>
      <c r="M23" s="76"/>
      <c r="N23" s="76"/>
      <c r="O23" s="67"/>
      <c r="P23" s="26"/>
      <c r="Q23" s="26"/>
      <c r="R23" s="6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14" t="s">
        <v>30</v>
      </c>
      <c r="AE23" s="13"/>
    </row>
    <row r="24" spans="2:31" ht="82.9" customHeight="1">
      <c r="B24" s="75">
        <v>20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67"/>
      <c r="P24" s="26"/>
      <c r="Q24" s="26"/>
      <c r="R24" s="6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14" t="s">
        <v>30</v>
      </c>
      <c r="AE24" s="21"/>
    </row>
    <row r="25" spans="2:31" ht="16.5">
      <c r="B25" s="75"/>
      <c r="C25" s="7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67"/>
      <c r="P25" s="26"/>
      <c r="Q25" s="26"/>
      <c r="R25" s="6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14" t="s">
        <v>30</v>
      </c>
      <c r="AE25" s="13"/>
    </row>
    <row r="26" spans="2:31" s="12" customFormat="1" ht="15" customHeight="1"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22" t="s">
        <v>17</v>
      </c>
      <c r="H26" s="22" t="s">
        <v>17</v>
      </c>
      <c r="I26" s="22" t="s">
        <v>17</v>
      </c>
      <c r="J26" s="22" t="s">
        <v>17</v>
      </c>
      <c r="K26" s="22" t="s">
        <v>17</v>
      </c>
      <c r="L26" s="22" t="s">
        <v>30</v>
      </c>
      <c r="M26" s="22" t="s">
        <v>17</v>
      </c>
      <c r="N26" s="22" t="s">
        <v>17</v>
      </c>
      <c r="O26" s="66"/>
      <c r="P26" s="22" t="s">
        <v>30</v>
      </c>
      <c r="Q26" s="22" t="s">
        <v>30</v>
      </c>
      <c r="R26" s="22"/>
      <c r="S26" s="22" t="s">
        <v>30</v>
      </c>
      <c r="T26" s="22" t="s">
        <v>30</v>
      </c>
      <c r="U26" s="22" t="s">
        <v>30</v>
      </c>
      <c r="V26" s="22" t="s">
        <v>30</v>
      </c>
      <c r="W26" s="22" t="s">
        <v>30</v>
      </c>
      <c r="X26" s="22" t="s">
        <v>30</v>
      </c>
      <c r="Y26" s="22" t="s">
        <v>30</v>
      </c>
      <c r="Z26" s="22" t="s">
        <v>30</v>
      </c>
      <c r="AA26" s="22" t="s">
        <v>30</v>
      </c>
      <c r="AB26" s="22" t="s">
        <v>30</v>
      </c>
      <c r="AC26" s="22" t="s">
        <v>30</v>
      </c>
      <c r="AD26" s="14" t="s">
        <v>30</v>
      </c>
    </row>
  </sheetData>
  <autoFilter ref="B4:AE26" xr:uid="{D7811410-1E43-4941-B394-489E4805C6D7}"/>
  <mergeCells count="4">
    <mergeCell ref="S3:AC3"/>
    <mergeCell ref="B3:B4"/>
    <mergeCell ref="C3:N3"/>
    <mergeCell ref="P3:Q3"/>
  </mergeCells>
  <phoneticPr fontId="1"/>
  <pageMargins left="0.7" right="0.7" top="0.75" bottom="0.75" header="0.3" footer="0.3"/>
  <pageSetup paperSize="9" scale="10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8030C5F-6E50-406E-81E1-7E7BC0CC3B5A}">
          <x14:formula1>
            <xm:f>リスト!$D$2:$D$3</xm:f>
          </x14:formula1>
          <xm:sqref>T5:T25</xm:sqref>
        </x14:dataValidation>
        <x14:dataValidation type="list" allowBlank="1" showInputMessage="1" showErrorMessage="1" xr:uid="{13A42B34-AF85-4F9A-86E3-CCE0907FAF83}">
          <x14:formula1>
            <xm:f>リスト!$E$2</xm:f>
          </x14:formula1>
          <xm:sqref>U5:U25</xm:sqref>
        </x14:dataValidation>
        <x14:dataValidation type="list" allowBlank="1" showInputMessage="1" showErrorMessage="1" xr:uid="{B48BFA7A-055A-4B82-AC2D-213DBD004620}">
          <x14:formula1>
            <xm:f>リスト!$F$2</xm:f>
          </x14:formula1>
          <xm:sqref>V5:V25</xm:sqref>
        </x14:dataValidation>
        <x14:dataValidation type="list" allowBlank="1" showInputMessage="1" showErrorMessage="1" xr:uid="{6F855D88-54DB-4780-AD78-CADA259BEC29}">
          <x14:formula1>
            <xm:f>リスト!$G$2:$G$4</xm:f>
          </x14:formula1>
          <xm:sqref>Y5:Y25</xm:sqref>
        </x14:dataValidation>
        <x14:dataValidation type="list" allowBlank="1" showInputMessage="1" showErrorMessage="1" xr:uid="{8DCF54C6-EBB7-4B4A-961C-C01770FD877A}">
          <x14:formula1>
            <xm:f>リスト!$H$2:$H$3</xm:f>
          </x14:formula1>
          <xm:sqref>P5:P25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92B3-72BF-47DB-A2E1-C57D8653A644}">
  <dimension ref="B1:G53"/>
  <sheetViews>
    <sheetView showGridLines="0" workbookViewId="0">
      <pane ySplit="2" topLeftCell="A3" activePane="bottomLeft" state="frozen"/>
      <selection pane="bottomLeft" activeCell="E3" sqref="E3"/>
    </sheetView>
  </sheetViews>
  <sheetFormatPr defaultRowHeight="18.75"/>
  <cols>
    <col min="1" max="1" width="3.33203125" customWidth="1"/>
    <col min="2" max="2" width="8.21875" style="25" customWidth="1"/>
    <col min="3" max="3" width="17.6640625" style="69" customWidth="1"/>
    <col min="4" max="4" width="17.109375" style="69" customWidth="1"/>
    <col min="5" max="5" width="60.33203125" style="69" customWidth="1"/>
    <col min="6" max="6" width="14.6640625" style="69" customWidth="1"/>
  </cols>
  <sheetData>
    <row r="1" spans="2:7" ht="15" customHeight="1"/>
    <row r="2" spans="2:7">
      <c r="B2" s="23" t="s">
        <v>72</v>
      </c>
      <c r="C2" s="70" t="s">
        <v>77</v>
      </c>
      <c r="D2" s="70" t="s">
        <v>78</v>
      </c>
      <c r="E2" s="70" t="s">
        <v>79</v>
      </c>
      <c r="F2" s="70" t="s">
        <v>80</v>
      </c>
      <c r="G2" t="s">
        <v>30</v>
      </c>
    </row>
    <row r="3" spans="2:7" ht="56.25">
      <c r="B3" s="24" t="s">
        <v>81</v>
      </c>
      <c r="C3" s="71" t="e">
        <f ca="1">_xlfn.XLOOKUP(B3, IFマッピング定義!Q:Q, IFマッピング定義!C:C, "")</f>
        <v>#NAME?</v>
      </c>
      <c r="D3" s="71" t="e">
        <f ca="1">_xlfn.XLOOKUP(B3, IFマッピング定義!Q:Q, IFマッピング定義!S:S, "")</f>
        <v>#NAME?</v>
      </c>
      <c r="E3" s="71" t="s">
        <v>82</v>
      </c>
      <c r="F3" s="71"/>
      <c r="G3" t="s">
        <v>30</v>
      </c>
    </row>
    <row r="4" spans="2:7">
      <c r="B4" s="24" t="s">
        <v>83</v>
      </c>
      <c r="C4" s="71" t="e">
        <f ca="1">_xlfn.XLOOKUP(B4, IFマッピング定義!Q:Q, IFマッピング定義!C:C, "")</f>
        <v>#NAME?</v>
      </c>
      <c r="D4" s="71" t="e">
        <f ca="1">_xlfn.XLOOKUP(B4, IFマッピング定義!Q:Q, IFマッピング定義!S:S, "")</f>
        <v>#NAME?</v>
      </c>
      <c r="E4" s="71"/>
      <c r="F4" s="71"/>
      <c r="G4" t="s">
        <v>30</v>
      </c>
    </row>
    <row r="5" spans="2:7">
      <c r="B5" s="24" t="s">
        <v>84</v>
      </c>
      <c r="C5" s="71" t="e">
        <f ca="1">_xlfn.XLOOKUP(B5, IFマッピング定義!Q:Q, IFマッピング定義!C:C, "")</f>
        <v>#NAME?</v>
      </c>
      <c r="D5" s="71" t="e">
        <f ca="1">_xlfn.XLOOKUP(B5, IFマッピング定義!Q:Q, IFマッピング定義!S:S, "")</f>
        <v>#NAME?</v>
      </c>
      <c r="E5" s="71"/>
      <c r="F5" s="71"/>
      <c r="G5" t="s">
        <v>30</v>
      </c>
    </row>
    <row r="6" spans="2:7">
      <c r="B6" s="24" t="s">
        <v>85</v>
      </c>
      <c r="C6" s="71" t="e">
        <f ca="1">_xlfn.XLOOKUP(B6, IFマッピング定義!Q:Q, IFマッピング定義!C:C, "")</f>
        <v>#NAME?</v>
      </c>
      <c r="D6" s="71" t="e">
        <f ca="1">_xlfn.XLOOKUP(B6, IFマッピング定義!Q:Q, IFマッピング定義!S:S, "")</f>
        <v>#NAME?</v>
      </c>
      <c r="E6" s="71"/>
      <c r="F6" s="71"/>
      <c r="G6" t="s">
        <v>30</v>
      </c>
    </row>
    <row r="7" spans="2:7">
      <c r="B7" s="24" t="s">
        <v>86</v>
      </c>
      <c r="C7" s="71" t="e">
        <f ca="1">_xlfn.XLOOKUP(B7, IFマッピング定義!Q:Q, IFマッピング定義!C:C, "")</f>
        <v>#NAME?</v>
      </c>
      <c r="D7" s="71" t="e">
        <f ca="1">_xlfn.XLOOKUP(B7, IFマッピング定義!Q:Q, IFマッピング定義!S:S, "")</f>
        <v>#NAME?</v>
      </c>
      <c r="E7" s="71"/>
      <c r="F7" s="71"/>
      <c r="G7" t="s">
        <v>30</v>
      </c>
    </row>
    <row r="8" spans="2:7">
      <c r="B8" s="24" t="s">
        <v>87</v>
      </c>
      <c r="C8" s="71" t="e">
        <f ca="1">_xlfn.XLOOKUP(B8, IFマッピング定義!Q:Q, IFマッピング定義!C:C, "")</f>
        <v>#NAME?</v>
      </c>
      <c r="D8" s="71" t="e">
        <f ca="1">_xlfn.XLOOKUP(B8, IFマッピング定義!Q:Q, IFマッピング定義!S:S, "")</f>
        <v>#NAME?</v>
      </c>
      <c r="E8" s="71"/>
      <c r="F8" s="71"/>
      <c r="G8" t="s">
        <v>30</v>
      </c>
    </row>
    <row r="9" spans="2:7">
      <c r="B9" s="24" t="s">
        <v>88</v>
      </c>
      <c r="C9" s="71" t="e">
        <f ca="1">_xlfn.XLOOKUP(B9, IFマッピング定義!Q:Q, IFマッピング定義!C:C, "")</f>
        <v>#NAME?</v>
      </c>
      <c r="D9" s="71" t="e">
        <f ca="1">_xlfn.XLOOKUP(B9, IFマッピング定義!Q:Q, IFマッピング定義!S:S, "")</f>
        <v>#NAME?</v>
      </c>
      <c r="E9" s="71"/>
      <c r="F9" s="71"/>
      <c r="G9" t="s">
        <v>30</v>
      </c>
    </row>
    <row r="10" spans="2:7">
      <c r="B10" s="24" t="s">
        <v>89</v>
      </c>
      <c r="C10" s="71" t="e">
        <f ca="1">_xlfn.XLOOKUP(B10, IFマッピング定義!Q:Q, IFマッピング定義!C:C, "")</f>
        <v>#NAME?</v>
      </c>
      <c r="D10" s="71" t="e">
        <f ca="1">_xlfn.XLOOKUP(B10, IFマッピング定義!Q:Q, IFマッピング定義!S:S, "")</f>
        <v>#NAME?</v>
      </c>
      <c r="E10" s="71"/>
      <c r="F10" s="71"/>
      <c r="G10" t="s">
        <v>30</v>
      </c>
    </row>
    <row r="11" spans="2:7">
      <c r="B11" s="24" t="s">
        <v>90</v>
      </c>
      <c r="C11" s="71" t="e">
        <f ca="1">_xlfn.XLOOKUP(B11, IFマッピング定義!Q:Q, IFマッピング定義!C:C, "")</f>
        <v>#NAME?</v>
      </c>
      <c r="D11" s="71" t="e">
        <f ca="1">_xlfn.XLOOKUP(B11, IFマッピング定義!Q:Q, IFマッピング定義!S:S, "")</f>
        <v>#NAME?</v>
      </c>
      <c r="E11" s="71"/>
      <c r="F11" s="71"/>
      <c r="G11" t="s">
        <v>30</v>
      </c>
    </row>
    <row r="12" spans="2:7">
      <c r="B12" s="24" t="s">
        <v>91</v>
      </c>
      <c r="C12" s="71" t="e">
        <f ca="1">_xlfn.XLOOKUP(B12, IFマッピング定義!Q:Q, IFマッピング定義!C:C, "")</f>
        <v>#NAME?</v>
      </c>
      <c r="D12" s="71" t="e">
        <f ca="1">_xlfn.XLOOKUP(B12, IFマッピング定義!Q:Q, IFマッピング定義!S:S, "")</f>
        <v>#NAME?</v>
      </c>
      <c r="E12" s="71"/>
      <c r="F12" s="71"/>
      <c r="G12" t="s">
        <v>30</v>
      </c>
    </row>
    <row r="13" spans="2:7">
      <c r="B13" s="24" t="s">
        <v>92</v>
      </c>
      <c r="C13" s="71" t="e">
        <f ca="1">_xlfn.XLOOKUP(B13, IFマッピング定義!Q:Q, IFマッピング定義!C:C, "")</f>
        <v>#NAME?</v>
      </c>
      <c r="D13" s="71" t="e">
        <f ca="1">_xlfn.XLOOKUP(B13, IFマッピング定義!Q:Q, IFマッピング定義!S:S, "")</f>
        <v>#NAME?</v>
      </c>
      <c r="E13" s="71"/>
      <c r="F13" s="71"/>
      <c r="G13" t="s">
        <v>30</v>
      </c>
    </row>
    <row r="14" spans="2:7">
      <c r="B14" s="24" t="s">
        <v>93</v>
      </c>
      <c r="C14" s="71" t="e">
        <f ca="1">_xlfn.XLOOKUP(B14, IFマッピング定義!Q:Q, IFマッピング定義!C:C, "")</f>
        <v>#NAME?</v>
      </c>
      <c r="D14" s="71" t="e">
        <f ca="1">_xlfn.XLOOKUP(B14, IFマッピング定義!Q:Q, IFマッピング定義!S:S, "")</f>
        <v>#NAME?</v>
      </c>
      <c r="E14" s="71"/>
      <c r="F14" s="71"/>
      <c r="G14" t="s">
        <v>30</v>
      </c>
    </row>
    <row r="15" spans="2:7">
      <c r="B15" s="24" t="s">
        <v>94</v>
      </c>
      <c r="C15" s="71" t="e">
        <f ca="1">_xlfn.XLOOKUP(B15, IFマッピング定義!Q:Q, IFマッピング定義!C:C, "")</f>
        <v>#NAME?</v>
      </c>
      <c r="D15" s="71" t="e">
        <f ca="1">_xlfn.XLOOKUP(B15, IFマッピング定義!Q:Q, IFマッピング定義!S:S, "")</f>
        <v>#NAME?</v>
      </c>
      <c r="E15" s="71"/>
      <c r="F15" s="71"/>
      <c r="G15" t="s">
        <v>30</v>
      </c>
    </row>
    <row r="16" spans="2:7">
      <c r="B16" s="24" t="s">
        <v>95</v>
      </c>
      <c r="C16" s="71" t="e">
        <f ca="1">_xlfn.XLOOKUP(B16, IFマッピング定義!Q:Q, IFマッピング定義!C:C, "")</f>
        <v>#NAME?</v>
      </c>
      <c r="D16" s="71" t="e">
        <f ca="1">_xlfn.XLOOKUP(B16, IFマッピング定義!Q:Q, IFマッピング定義!S:S, "")</f>
        <v>#NAME?</v>
      </c>
      <c r="E16" s="71"/>
      <c r="F16" s="71"/>
      <c r="G16" t="s">
        <v>30</v>
      </c>
    </row>
    <row r="17" spans="2:7">
      <c r="B17" s="24" t="s">
        <v>96</v>
      </c>
      <c r="C17" s="71" t="e">
        <f ca="1">_xlfn.XLOOKUP(B17, IFマッピング定義!Q:Q, IFマッピング定義!C:C, "")</f>
        <v>#NAME?</v>
      </c>
      <c r="D17" s="71" t="e">
        <f ca="1">_xlfn.XLOOKUP(B17, IFマッピング定義!Q:Q, IFマッピング定義!S:S, "")</f>
        <v>#NAME?</v>
      </c>
      <c r="E17" s="71"/>
      <c r="F17" s="71"/>
      <c r="G17" t="s">
        <v>30</v>
      </c>
    </row>
    <row r="18" spans="2:7">
      <c r="B18" s="24" t="s">
        <v>97</v>
      </c>
      <c r="C18" s="71" t="e">
        <f ca="1">_xlfn.XLOOKUP(B18, IFマッピング定義!Q:Q, IFマッピング定義!C:C, "")</f>
        <v>#NAME?</v>
      </c>
      <c r="D18" s="71" t="e">
        <f ca="1">_xlfn.XLOOKUP(B18, IFマッピング定義!Q:Q, IFマッピング定義!S:S, "")</f>
        <v>#NAME?</v>
      </c>
      <c r="E18" s="71"/>
      <c r="F18" s="71"/>
      <c r="G18" t="s">
        <v>30</v>
      </c>
    </row>
    <row r="19" spans="2:7">
      <c r="B19" s="24" t="s">
        <v>98</v>
      </c>
      <c r="C19" s="71" t="e">
        <f ca="1">_xlfn.XLOOKUP(B19, IFマッピング定義!Q:Q, IFマッピング定義!C:C, "")</f>
        <v>#NAME?</v>
      </c>
      <c r="D19" s="71" t="e">
        <f ca="1">_xlfn.XLOOKUP(B19, IFマッピング定義!Q:Q, IFマッピング定義!S:S, "")</f>
        <v>#NAME?</v>
      </c>
      <c r="E19" s="71"/>
      <c r="F19" s="71"/>
      <c r="G19" t="s">
        <v>30</v>
      </c>
    </row>
    <row r="20" spans="2:7">
      <c r="B20" s="24" t="s">
        <v>99</v>
      </c>
      <c r="C20" s="71" t="e">
        <f ca="1">_xlfn.XLOOKUP(B20, IFマッピング定義!Q:Q, IFマッピング定義!C:C, "")</f>
        <v>#NAME?</v>
      </c>
      <c r="D20" s="71" t="e">
        <f ca="1">_xlfn.XLOOKUP(B20, IFマッピング定義!Q:Q, IFマッピング定義!S:S, "")</f>
        <v>#NAME?</v>
      </c>
      <c r="E20" s="71"/>
      <c r="F20" s="71"/>
      <c r="G20" t="s">
        <v>30</v>
      </c>
    </row>
    <row r="21" spans="2:7">
      <c r="B21" s="24" t="s">
        <v>100</v>
      </c>
      <c r="C21" s="71" t="e">
        <f ca="1">_xlfn.XLOOKUP(B21, IFマッピング定義!Q:Q, IFマッピング定義!C:C, "")</f>
        <v>#NAME?</v>
      </c>
      <c r="D21" s="71" t="e">
        <f ca="1">_xlfn.XLOOKUP(B21, IFマッピング定義!Q:Q, IFマッピング定義!S:S, "")</f>
        <v>#NAME?</v>
      </c>
      <c r="E21" s="71"/>
      <c r="F21" s="71"/>
      <c r="G21" t="s">
        <v>30</v>
      </c>
    </row>
    <row r="22" spans="2:7">
      <c r="B22" s="24" t="s">
        <v>101</v>
      </c>
      <c r="C22" s="71" t="e">
        <f ca="1">_xlfn.XLOOKUP(B22, IFマッピング定義!Q:Q, IFマッピング定義!C:C, "")</f>
        <v>#NAME?</v>
      </c>
      <c r="D22" s="71" t="e">
        <f ca="1">_xlfn.XLOOKUP(B22, IFマッピング定義!Q:Q, IFマッピング定義!S:S, "")</f>
        <v>#NAME?</v>
      </c>
      <c r="E22" s="71"/>
      <c r="F22" s="71"/>
      <c r="G22" t="s">
        <v>30</v>
      </c>
    </row>
    <row r="23" spans="2:7">
      <c r="B23" s="24" t="s">
        <v>102</v>
      </c>
      <c r="C23" s="71" t="e">
        <f ca="1">_xlfn.XLOOKUP(B23, IFマッピング定義!Q:Q, IFマッピング定義!C:C, "")</f>
        <v>#NAME?</v>
      </c>
      <c r="D23" s="71" t="e">
        <f ca="1">_xlfn.XLOOKUP(B23, IFマッピング定義!Q:Q, IFマッピング定義!S:S, "")</f>
        <v>#NAME?</v>
      </c>
      <c r="E23" s="71"/>
      <c r="F23" s="71"/>
      <c r="G23" t="s">
        <v>30</v>
      </c>
    </row>
    <row r="24" spans="2:7">
      <c r="B24" s="24" t="s">
        <v>103</v>
      </c>
      <c r="C24" s="71" t="e">
        <f ca="1">_xlfn.XLOOKUP(B24, IFマッピング定義!Q:Q, IFマッピング定義!C:C, "")</f>
        <v>#NAME?</v>
      </c>
      <c r="D24" s="71" t="e">
        <f ca="1">_xlfn.XLOOKUP(B24, IFマッピング定義!Q:Q, IFマッピング定義!S:S, "")</f>
        <v>#NAME?</v>
      </c>
      <c r="E24" s="71"/>
      <c r="F24" s="71"/>
      <c r="G24" t="s">
        <v>30</v>
      </c>
    </row>
    <row r="25" spans="2:7">
      <c r="B25" s="24" t="s">
        <v>104</v>
      </c>
      <c r="C25" s="71" t="e">
        <f ca="1">_xlfn.XLOOKUP(B25, IFマッピング定義!Q:Q, IFマッピング定義!C:C, "")</f>
        <v>#NAME?</v>
      </c>
      <c r="D25" s="71" t="e">
        <f ca="1">_xlfn.XLOOKUP(B25, IFマッピング定義!Q:Q, IFマッピング定義!S:S, "")</f>
        <v>#NAME?</v>
      </c>
      <c r="E25" s="71"/>
      <c r="F25" s="71"/>
      <c r="G25" t="s">
        <v>30</v>
      </c>
    </row>
    <row r="26" spans="2:7">
      <c r="B26" s="24" t="s">
        <v>105</v>
      </c>
      <c r="C26" s="71" t="e">
        <f ca="1">_xlfn.XLOOKUP(B26, IFマッピング定義!Q:Q, IFマッピング定義!C:C, "")</f>
        <v>#NAME?</v>
      </c>
      <c r="D26" s="71" t="e">
        <f ca="1">_xlfn.XLOOKUP(B26, IFマッピング定義!Q:Q, IFマッピング定義!S:S, "")</f>
        <v>#NAME?</v>
      </c>
      <c r="E26" s="71"/>
      <c r="F26" s="71"/>
      <c r="G26" t="s">
        <v>30</v>
      </c>
    </row>
    <row r="27" spans="2:7">
      <c r="B27" s="24" t="s">
        <v>106</v>
      </c>
      <c r="C27" s="71" t="e">
        <f ca="1">_xlfn.XLOOKUP(B27, IFマッピング定義!Q:Q, IFマッピング定義!C:C, "")</f>
        <v>#NAME?</v>
      </c>
      <c r="D27" s="71" t="e">
        <f ca="1">_xlfn.XLOOKUP(B27, IFマッピング定義!Q:Q, IFマッピング定義!S:S, "")</f>
        <v>#NAME?</v>
      </c>
      <c r="E27" s="71"/>
      <c r="F27" s="71"/>
      <c r="G27" t="s">
        <v>30</v>
      </c>
    </row>
    <row r="28" spans="2:7">
      <c r="B28" s="24" t="s">
        <v>107</v>
      </c>
      <c r="C28" s="71" t="e">
        <f ca="1">_xlfn.XLOOKUP(B28, IFマッピング定義!Q:Q, IFマッピング定義!C:C, "")</f>
        <v>#NAME?</v>
      </c>
      <c r="D28" s="71" t="e">
        <f ca="1">_xlfn.XLOOKUP(B28, IFマッピング定義!Q:Q, IFマッピング定義!S:S, "")</f>
        <v>#NAME?</v>
      </c>
      <c r="E28" s="71"/>
      <c r="F28" s="71"/>
      <c r="G28" t="s">
        <v>30</v>
      </c>
    </row>
    <row r="29" spans="2:7">
      <c r="B29" s="24" t="s">
        <v>108</v>
      </c>
      <c r="C29" s="71" t="e">
        <f ca="1">_xlfn.XLOOKUP(B29, IFマッピング定義!Q:Q, IFマッピング定義!C:C, "")</f>
        <v>#NAME?</v>
      </c>
      <c r="D29" s="71" t="e">
        <f ca="1">_xlfn.XLOOKUP(B29, IFマッピング定義!Q:Q, IFマッピング定義!S:S, "")</f>
        <v>#NAME?</v>
      </c>
      <c r="E29" s="71"/>
      <c r="F29" s="71"/>
      <c r="G29" t="s">
        <v>30</v>
      </c>
    </row>
    <row r="30" spans="2:7">
      <c r="B30" s="24" t="s">
        <v>109</v>
      </c>
      <c r="C30" s="71" t="e">
        <f ca="1">_xlfn.XLOOKUP(B30, IFマッピング定義!Q:Q, IFマッピング定義!C:C, "")</f>
        <v>#NAME?</v>
      </c>
      <c r="D30" s="71" t="e">
        <f ca="1">_xlfn.XLOOKUP(B30, IFマッピング定義!Q:Q, IFマッピング定義!S:S, "")</f>
        <v>#NAME?</v>
      </c>
      <c r="E30" s="71"/>
      <c r="F30" s="71"/>
      <c r="G30" t="s">
        <v>30</v>
      </c>
    </row>
    <row r="31" spans="2:7">
      <c r="B31" s="24" t="s">
        <v>110</v>
      </c>
      <c r="C31" s="71" t="e">
        <f ca="1">_xlfn.XLOOKUP(B31, IFマッピング定義!Q:Q, IFマッピング定義!C:C, "")</f>
        <v>#NAME?</v>
      </c>
      <c r="D31" s="71" t="e">
        <f ca="1">_xlfn.XLOOKUP(B31, IFマッピング定義!Q:Q, IFマッピング定義!S:S, "")</f>
        <v>#NAME?</v>
      </c>
      <c r="E31" s="71"/>
      <c r="F31" s="71"/>
      <c r="G31" t="s">
        <v>30</v>
      </c>
    </row>
    <row r="32" spans="2:7">
      <c r="B32" s="24" t="s">
        <v>111</v>
      </c>
      <c r="C32" s="71" t="e">
        <f ca="1">_xlfn.XLOOKUP(B32, IFマッピング定義!Q:Q, IFマッピング定義!C:C, "")</f>
        <v>#NAME?</v>
      </c>
      <c r="D32" s="71" t="e">
        <f ca="1">_xlfn.XLOOKUP(B32, IFマッピング定義!Q:Q, IFマッピング定義!S:S, "")</f>
        <v>#NAME?</v>
      </c>
      <c r="E32" s="71"/>
      <c r="F32" s="71"/>
      <c r="G32" t="s">
        <v>30</v>
      </c>
    </row>
    <row r="33" spans="2:7">
      <c r="B33" s="24" t="s">
        <v>112</v>
      </c>
      <c r="C33" s="71" t="e">
        <f ca="1">_xlfn.XLOOKUP(B33, IFマッピング定義!Q:Q, IFマッピング定義!C:C, "")</f>
        <v>#NAME?</v>
      </c>
      <c r="D33" s="71" t="e">
        <f ca="1">_xlfn.XLOOKUP(B33, IFマッピング定義!Q:Q, IFマッピング定義!S:S, "")</f>
        <v>#NAME?</v>
      </c>
      <c r="E33" s="71"/>
      <c r="F33" s="71"/>
      <c r="G33" t="s">
        <v>30</v>
      </c>
    </row>
    <row r="34" spans="2:7">
      <c r="B34" s="24" t="s">
        <v>113</v>
      </c>
      <c r="C34" s="71" t="e">
        <f ca="1">_xlfn.XLOOKUP(B34, IFマッピング定義!Q:Q, IFマッピング定義!C:C, "")</f>
        <v>#NAME?</v>
      </c>
      <c r="D34" s="71" t="e">
        <f ca="1">_xlfn.XLOOKUP(B34, IFマッピング定義!Q:Q, IFマッピング定義!S:S, "")</f>
        <v>#NAME?</v>
      </c>
      <c r="E34" s="71"/>
      <c r="F34" s="71"/>
      <c r="G34" t="s">
        <v>30</v>
      </c>
    </row>
    <row r="35" spans="2:7">
      <c r="B35" s="24" t="s">
        <v>114</v>
      </c>
      <c r="C35" s="71" t="e">
        <f ca="1">_xlfn.XLOOKUP(B35, IFマッピング定義!Q:Q, IFマッピング定義!C:C, "")</f>
        <v>#NAME?</v>
      </c>
      <c r="D35" s="71" t="e">
        <f ca="1">_xlfn.XLOOKUP(B35, IFマッピング定義!Q:Q, IFマッピング定義!S:S, "")</f>
        <v>#NAME?</v>
      </c>
      <c r="E35" s="71"/>
      <c r="F35" s="71"/>
      <c r="G35" t="s">
        <v>30</v>
      </c>
    </row>
    <row r="36" spans="2:7">
      <c r="B36" s="24" t="s">
        <v>115</v>
      </c>
      <c r="C36" s="71" t="e">
        <f ca="1">_xlfn.XLOOKUP(B36, IFマッピング定義!Q:Q, IFマッピング定義!C:C, "")</f>
        <v>#NAME?</v>
      </c>
      <c r="D36" s="71" t="e">
        <f ca="1">_xlfn.XLOOKUP(B36, IFマッピング定義!Q:Q, IFマッピング定義!S:S, "")</f>
        <v>#NAME?</v>
      </c>
      <c r="E36" s="71"/>
      <c r="F36" s="71"/>
      <c r="G36" t="s">
        <v>30</v>
      </c>
    </row>
    <row r="37" spans="2:7">
      <c r="B37" s="24" t="s">
        <v>116</v>
      </c>
      <c r="C37" s="71" t="e">
        <f ca="1">_xlfn.XLOOKUP(B37, IFマッピング定義!Q:Q, IFマッピング定義!C:C, "")</f>
        <v>#NAME?</v>
      </c>
      <c r="D37" s="71" t="e">
        <f ca="1">_xlfn.XLOOKUP(B37, IFマッピング定義!Q:Q, IFマッピング定義!S:S, "")</f>
        <v>#NAME?</v>
      </c>
      <c r="E37" s="71"/>
      <c r="F37" s="71"/>
      <c r="G37" t="s">
        <v>30</v>
      </c>
    </row>
    <row r="38" spans="2:7">
      <c r="B38" s="24" t="s">
        <v>117</v>
      </c>
      <c r="C38" s="71" t="e">
        <f ca="1">_xlfn.XLOOKUP(B38, IFマッピング定義!Q:Q, IFマッピング定義!C:C, "")</f>
        <v>#NAME?</v>
      </c>
      <c r="D38" s="71" t="e">
        <f ca="1">_xlfn.XLOOKUP(B38, IFマッピング定義!Q:Q, IFマッピング定義!S:S, "")</f>
        <v>#NAME?</v>
      </c>
      <c r="E38" s="71"/>
      <c r="F38" s="71"/>
      <c r="G38" t="s">
        <v>30</v>
      </c>
    </row>
    <row r="39" spans="2:7">
      <c r="B39" s="24" t="s">
        <v>118</v>
      </c>
      <c r="C39" s="71" t="e">
        <f ca="1">_xlfn.XLOOKUP(B39, IFマッピング定義!Q:Q, IFマッピング定義!C:C, "")</f>
        <v>#NAME?</v>
      </c>
      <c r="D39" s="71" t="e">
        <f ca="1">_xlfn.XLOOKUP(B39, IFマッピング定義!Q:Q, IFマッピング定義!S:S, "")</f>
        <v>#NAME?</v>
      </c>
      <c r="E39" s="71"/>
      <c r="F39" s="71"/>
      <c r="G39" t="s">
        <v>30</v>
      </c>
    </row>
    <row r="40" spans="2:7">
      <c r="B40" s="24" t="s">
        <v>119</v>
      </c>
      <c r="C40" s="71" t="e">
        <f ca="1">_xlfn.XLOOKUP(B40, IFマッピング定義!Q:Q, IFマッピング定義!C:C, "")</f>
        <v>#NAME?</v>
      </c>
      <c r="D40" s="71" t="e">
        <f ca="1">_xlfn.XLOOKUP(B40, IFマッピング定義!Q:Q, IFマッピング定義!S:S, "")</f>
        <v>#NAME?</v>
      </c>
      <c r="E40" s="71"/>
      <c r="F40" s="71"/>
      <c r="G40" t="s">
        <v>30</v>
      </c>
    </row>
    <row r="41" spans="2:7">
      <c r="B41" s="24" t="s">
        <v>120</v>
      </c>
      <c r="C41" s="71" t="e">
        <f ca="1">_xlfn.XLOOKUP(B41, IFマッピング定義!Q:Q, IFマッピング定義!C:C, "")</f>
        <v>#NAME?</v>
      </c>
      <c r="D41" s="71" t="e">
        <f ca="1">_xlfn.XLOOKUP(B41, IFマッピング定義!Q:Q, IFマッピング定義!S:S, "")</f>
        <v>#NAME?</v>
      </c>
      <c r="E41" s="71"/>
      <c r="F41" s="71"/>
      <c r="G41" t="s">
        <v>30</v>
      </c>
    </row>
    <row r="42" spans="2:7">
      <c r="B42" s="24" t="s">
        <v>121</v>
      </c>
      <c r="C42" s="71" t="e">
        <f ca="1">_xlfn.XLOOKUP(B42, IFマッピング定義!Q:Q, IFマッピング定義!C:C, "")</f>
        <v>#NAME?</v>
      </c>
      <c r="D42" s="71" t="e">
        <f ca="1">_xlfn.XLOOKUP(B42, IFマッピング定義!Q:Q, IFマッピング定義!S:S, "")</f>
        <v>#NAME?</v>
      </c>
      <c r="E42" s="71"/>
      <c r="F42" s="71"/>
      <c r="G42" t="s">
        <v>30</v>
      </c>
    </row>
    <row r="43" spans="2:7">
      <c r="B43" s="24" t="s">
        <v>122</v>
      </c>
      <c r="C43" s="71" t="e">
        <f ca="1">_xlfn.XLOOKUP(B43, IFマッピング定義!Q:Q, IFマッピング定義!C:C, "")</f>
        <v>#NAME?</v>
      </c>
      <c r="D43" s="71" t="e">
        <f ca="1">_xlfn.XLOOKUP(B43, IFマッピング定義!Q:Q, IFマッピング定義!S:S, "")</f>
        <v>#NAME?</v>
      </c>
      <c r="E43" s="71"/>
      <c r="F43" s="71"/>
      <c r="G43" t="s">
        <v>30</v>
      </c>
    </row>
    <row r="44" spans="2:7">
      <c r="B44" s="24" t="s">
        <v>123</v>
      </c>
      <c r="C44" s="71" t="e">
        <f ca="1">_xlfn.XLOOKUP(B44, IFマッピング定義!Q:Q, IFマッピング定義!C:C, "")</f>
        <v>#NAME?</v>
      </c>
      <c r="D44" s="71" t="e">
        <f ca="1">_xlfn.XLOOKUP(B44, IFマッピング定義!Q:Q, IFマッピング定義!S:S, "")</f>
        <v>#NAME?</v>
      </c>
      <c r="E44" s="71"/>
      <c r="F44" s="71"/>
      <c r="G44" t="s">
        <v>30</v>
      </c>
    </row>
    <row r="45" spans="2:7">
      <c r="B45" s="24" t="s">
        <v>124</v>
      </c>
      <c r="C45" s="71" t="e">
        <f ca="1">_xlfn.XLOOKUP(B45, IFマッピング定義!Q:Q, IFマッピング定義!C:C, "")</f>
        <v>#NAME?</v>
      </c>
      <c r="D45" s="71" t="e">
        <f ca="1">_xlfn.XLOOKUP(B45, IFマッピング定義!Q:Q, IFマッピング定義!S:S, "")</f>
        <v>#NAME?</v>
      </c>
      <c r="E45" s="71"/>
      <c r="F45" s="71"/>
      <c r="G45" t="s">
        <v>30</v>
      </c>
    </row>
    <row r="46" spans="2:7">
      <c r="B46" s="24" t="s">
        <v>125</v>
      </c>
      <c r="C46" s="71" t="e">
        <f ca="1">_xlfn.XLOOKUP(B46, IFマッピング定義!Q:Q, IFマッピング定義!C:C, "")</f>
        <v>#NAME?</v>
      </c>
      <c r="D46" s="71" t="e">
        <f ca="1">_xlfn.XLOOKUP(B46, IFマッピング定義!Q:Q, IFマッピング定義!S:S, "")</f>
        <v>#NAME?</v>
      </c>
      <c r="E46" s="71"/>
      <c r="F46" s="71"/>
      <c r="G46" t="s">
        <v>30</v>
      </c>
    </row>
    <row r="47" spans="2:7">
      <c r="B47" s="24" t="s">
        <v>126</v>
      </c>
      <c r="C47" s="71" t="e">
        <f ca="1">_xlfn.XLOOKUP(B47, IFマッピング定義!Q:Q, IFマッピング定義!C:C, "")</f>
        <v>#NAME?</v>
      </c>
      <c r="D47" s="71" t="e">
        <f ca="1">_xlfn.XLOOKUP(B47, IFマッピング定義!Q:Q, IFマッピング定義!S:S, "")</f>
        <v>#NAME?</v>
      </c>
      <c r="E47" s="71"/>
      <c r="F47" s="71"/>
      <c r="G47" t="s">
        <v>30</v>
      </c>
    </row>
    <row r="48" spans="2:7">
      <c r="B48" s="24" t="s">
        <v>127</v>
      </c>
      <c r="C48" s="71" t="e">
        <f ca="1">_xlfn.XLOOKUP(B48, IFマッピング定義!Q:Q, IFマッピング定義!C:C, "")</f>
        <v>#NAME?</v>
      </c>
      <c r="D48" s="71" t="e">
        <f ca="1">_xlfn.XLOOKUP(B48, IFマッピング定義!Q:Q, IFマッピング定義!S:S, "")</f>
        <v>#NAME?</v>
      </c>
      <c r="E48" s="71"/>
      <c r="F48" s="71"/>
      <c r="G48" t="s">
        <v>30</v>
      </c>
    </row>
    <row r="49" spans="2:7">
      <c r="B49" s="24" t="s">
        <v>128</v>
      </c>
      <c r="C49" s="71" t="e">
        <f ca="1">_xlfn.XLOOKUP(B49, IFマッピング定義!Q:Q, IFマッピング定義!C:C, "")</f>
        <v>#NAME?</v>
      </c>
      <c r="D49" s="71" t="e">
        <f ca="1">_xlfn.XLOOKUP(B49, IFマッピング定義!Q:Q, IFマッピング定義!S:S, "")</f>
        <v>#NAME?</v>
      </c>
      <c r="E49" s="71"/>
      <c r="F49" s="71"/>
      <c r="G49" t="s">
        <v>30</v>
      </c>
    </row>
    <row r="50" spans="2:7">
      <c r="B50" s="24" t="s">
        <v>129</v>
      </c>
      <c r="C50" s="71" t="e">
        <f ca="1">_xlfn.XLOOKUP(B50, IFマッピング定義!Q:Q, IFマッピング定義!C:C, "")</f>
        <v>#NAME?</v>
      </c>
      <c r="D50" s="71" t="e">
        <f ca="1">_xlfn.XLOOKUP(B50, IFマッピング定義!Q:Q, IFマッピング定義!S:S, "")</f>
        <v>#NAME?</v>
      </c>
      <c r="E50" s="71"/>
      <c r="F50" s="71"/>
      <c r="G50" t="s">
        <v>30</v>
      </c>
    </row>
    <row r="51" spans="2:7">
      <c r="B51" s="24" t="s">
        <v>130</v>
      </c>
      <c r="C51" s="71" t="e">
        <f ca="1">_xlfn.XLOOKUP(B51, IFマッピング定義!Q:Q, IFマッピング定義!C:C, "")</f>
        <v>#NAME?</v>
      </c>
      <c r="D51" s="71" t="e">
        <f ca="1">_xlfn.XLOOKUP(B51, IFマッピング定義!Q:Q, IFマッピング定義!S:S, "")</f>
        <v>#NAME?</v>
      </c>
      <c r="E51" s="71"/>
      <c r="F51" s="71"/>
      <c r="G51" t="s">
        <v>30</v>
      </c>
    </row>
    <row r="52" spans="2:7">
      <c r="B52" s="24" t="s">
        <v>131</v>
      </c>
      <c r="C52" s="71" t="e">
        <f ca="1">_xlfn.XLOOKUP(B52, IFマッピング定義!Q:Q, IFマッピング定義!C:C, "")</f>
        <v>#NAME?</v>
      </c>
      <c r="D52" s="71" t="e">
        <f ca="1">_xlfn.XLOOKUP(B52, IFマッピング定義!Q:Q, IFマッピング定義!S:S, "")</f>
        <v>#NAME?</v>
      </c>
      <c r="E52" s="71"/>
      <c r="F52" s="71"/>
      <c r="G52" t="s">
        <v>30</v>
      </c>
    </row>
    <row r="53" spans="2:7">
      <c r="B53" s="41" t="s">
        <v>30</v>
      </c>
      <c r="C53" s="72" t="s">
        <v>30</v>
      </c>
      <c r="D53" s="72" t="s">
        <v>30</v>
      </c>
      <c r="E53" s="72" t="s">
        <v>30</v>
      </c>
      <c r="F53" s="72" t="s">
        <v>30</v>
      </c>
      <c r="G53" t="s">
        <v>30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BA119D-F2A1-40B1-9217-7A3A549DE941}">
          <x14:formula1>
            <xm:f>リスト!$I$2:$I$4</xm:f>
          </x14:formula1>
          <xm:sqref>F3:F52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9EB1-0C5C-452D-BAA9-41B1121A617F}">
  <sheetPr>
    <tabColor theme="9"/>
  </sheetPr>
  <dimension ref="A1:I13"/>
  <sheetViews>
    <sheetView zoomScaleNormal="100" workbookViewId="0"/>
  </sheetViews>
  <sheetFormatPr defaultRowHeight="18.75"/>
  <cols>
    <col min="2" max="2" width="14.77734375" bestFit="1" customWidth="1"/>
    <col min="3" max="3" width="68.21875" bestFit="1" customWidth="1"/>
    <col min="4" max="4" width="12.6640625" bestFit="1" customWidth="1"/>
    <col min="5" max="5" width="4.77734375" bestFit="1" customWidth="1"/>
    <col min="6" max="6" width="10" bestFit="1" customWidth="1"/>
    <col min="8" max="8" width="8.21875" bestFit="1" customWidth="1"/>
    <col min="9" max="9" width="11.77734375" bestFit="1" customWidth="1"/>
  </cols>
  <sheetData>
    <row r="1" spans="1:9">
      <c r="A1" s="36" t="s">
        <v>20</v>
      </c>
      <c r="B1" s="37" t="s">
        <v>133</v>
      </c>
      <c r="C1" s="37" t="s">
        <v>25</v>
      </c>
      <c r="D1" s="37" t="s">
        <v>134</v>
      </c>
      <c r="E1" s="37" t="s">
        <v>62</v>
      </c>
      <c r="F1" s="37" t="s">
        <v>135</v>
      </c>
      <c r="G1" s="37" t="s">
        <v>66</v>
      </c>
      <c r="H1" s="37" t="s">
        <v>71</v>
      </c>
      <c r="I1" s="37" t="s">
        <v>136</v>
      </c>
    </row>
    <row r="2" spans="1:9">
      <c r="A2" t="s">
        <v>137</v>
      </c>
      <c r="B2" t="s">
        <v>138</v>
      </c>
      <c r="C2" t="s">
        <v>139</v>
      </c>
      <c r="D2" t="s">
        <v>140</v>
      </c>
      <c r="E2" t="s">
        <v>76</v>
      </c>
      <c r="F2" t="s">
        <v>141</v>
      </c>
      <c r="G2" t="s">
        <v>142</v>
      </c>
      <c r="H2" t="s">
        <v>143</v>
      </c>
      <c r="I2" t="s">
        <v>144</v>
      </c>
    </row>
    <row r="3" spans="1:9">
      <c r="A3" t="s">
        <v>145</v>
      </c>
      <c r="B3" t="s">
        <v>146</v>
      </c>
      <c r="C3" t="s">
        <v>147</v>
      </c>
      <c r="D3" t="s">
        <v>148</v>
      </c>
      <c r="G3" t="s">
        <v>149</v>
      </c>
      <c r="H3" t="s">
        <v>150</v>
      </c>
      <c r="I3" t="s">
        <v>151</v>
      </c>
    </row>
    <row r="4" spans="1:9">
      <c r="A4" t="s">
        <v>152</v>
      </c>
      <c r="C4" t="s">
        <v>153</v>
      </c>
      <c r="G4" t="s">
        <v>154</v>
      </c>
      <c r="I4" t="s">
        <v>132</v>
      </c>
    </row>
    <row r="5" spans="1:9">
      <c r="A5" t="s">
        <v>155</v>
      </c>
      <c r="C5" t="s">
        <v>156</v>
      </c>
    </row>
    <row r="6" spans="1:9">
      <c r="A6" t="s">
        <v>157</v>
      </c>
      <c r="C6" t="s">
        <v>158</v>
      </c>
    </row>
    <row r="7" spans="1:9">
      <c r="A7" t="s">
        <v>28</v>
      </c>
      <c r="C7" t="s">
        <v>159</v>
      </c>
    </row>
    <row r="8" spans="1:9">
      <c r="A8" t="s">
        <v>160</v>
      </c>
      <c r="C8" t="s">
        <v>161</v>
      </c>
    </row>
    <row r="9" spans="1:9">
      <c r="A9" t="s">
        <v>162</v>
      </c>
      <c r="C9" t="s">
        <v>163</v>
      </c>
    </row>
    <row r="10" spans="1:9">
      <c r="C10" t="s">
        <v>164</v>
      </c>
    </row>
    <row r="11" spans="1:9">
      <c r="C11" t="s">
        <v>165</v>
      </c>
    </row>
    <row r="12" spans="1:9">
      <c r="C12" t="s">
        <v>166</v>
      </c>
    </row>
    <row r="13" spans="1:9">
      <c r="C13" t="s">
        <v>167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5932052CA332D40B80A2AF3822F2D8E" ma:contentTypeVersion="15" ma:contentTypeDescription="新しいドキュメントを作成します。" ma:contentTypeScope="" ma:versionID="dd7ec460b46c2364252c54defbb628fa">
  <xsd:schema xmlns:xsd="http://www.w3.org/2001/XMLSchema" xmlns:xs="http://www.w3.org/2001/XMLSchema" xmlns:p="http://schemas.microsoft.com/office/2006/metadata/properties" xmlns:ns2="7935df77-1056-4b52-895b-6d39be56e85c" xmlns:ns3="2ffafdab-73f5-4cfe-8971-fa08dc454e6b" targetNamespace="http://schemas.microsoft.com/office/2006/metadata/properties" ma:root="true" ma:fieldsID="01d32e1df7312a9abb75f851394b0168" ns2:_="" ns3:_="">
    <xsd:import namespace="7935df77-1056-4b52-895b-6d39be56e85c"/>
    <xsd:import namespace="2ffafdab-73f5-4cfe-8971-fa08dc454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5df77-1056-4b52-895b-6d39be56e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afdab-73f5-4cfe-8971-fa08dc454e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d150ddd-1d3d-434a-8067-70bd22fef7c0}" ma:internalName="TaxCatchAll" ma:showField="CatchAllData" ma:web="2ffafdab-73f5-4cfe-8971-fa08dc454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35df77-1056-4b52-895b-6d39be56e85c">
      <Terms xmlns="http://schemas.microsoft.com/office/infopath/2007/PartnerControls"/>
    </lcf76f155ced4ddcb4097134ff3c332f>
    <TaxCatchAll xmlns="2ffafdab-73f5-4cfe-8971-fa08dc454e6b" xsi:nil="true"/>
  </documentManagement>
</p:properties>
</file>

<file path=customXml/itemProps1.xml><?xml version="1.0" encoding="utf-8"?>
<ds:datastoreItem xmlns:ds="http://schemas.openxmlformats.org/officeDocument/2006/customXml" ds:itemID="{B350CED8-4BFE-45AE-99F6-8C03EC6F7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DADD02-E835-4DBE-AE8B-C444FA75A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5df77-1056-4b52-895b-6d39be56e85c"/>
    <ds:schemaRef ds:uri="2ffafdab-73f5-4cfe-8971-fa08dc454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3F84F0-CAA0-4A25-B5A0-B47A7FEFDD3C}">
  <ds:schemaRefs>
    <ds:schemaRef ds:uri="http://schemas.microsoft.com/office/2006/metadata/properties"/>
    <ds:schemaRef ds:uri="http://schemas.microsoft.com/office/infopath/2007/PartnerControls"/>
    <ds:schemaRef ds:uri="e7e9a507-d1da-4655-93a7-80ccd2d813e8"/>
    <ds:schemaRef ds:uri="a5125aa9-6a37-44b2-bc05-33840ab3bcd9"/>
    <ds:schemaRef ds:uri="7935df77-1056-4b52-895b-6d39be56e85c"/>
    <ds:schemaRef ds:uri="2ffafdab-73f5-4cfe-8971-fa08dc454e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表紙</vt:lpstr>
      <vt:lpstr>改訂履歴</vt:lpstr>
      <vt:lpstr>対象IF</vt:lpstr>
      <vt:lpstr>IFマッピング定義</vt:lpstr>
      <vt:lpstr>変換仕様</vt:lpstr>
      <vt:lpstr>リスト</vt:lpstr>
      <vt:lpstr>改訂履歴!_FilterDatabase</vt:lpstr>
      <vt:lpstr>IFマッピング定義!Print_Area</vt:lpstr>
      <vt:lpstr>表紙!Print_Area</vt:lpstr>
      <vt:lpstr>対象IF!Print_Area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2025-10-08T10:01:43Z</dcterms:created>
  <dcterms:modified xsi:type="dcterms:W3CDTF">2026-03-23T03:11:52Z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0x01010055932052CA332D40B80A2AF3822F2D8E</vt:lpwstr>
  </property>
  <property fmtid="{D5CDD505-2E9C-101B-9397-08002B2CF9AE}" pid="4" name="_dlc_DocId">
    <vt:lpwstr>2EAHERP5SJHD-431277042-735</vt:lpwstr>
  </property>
  <property fmtid="{D5CDD505-2E9C-101B-9397-08002B2CF9AE}" pid="5" name="ComplianceAssetId">
    <vt:lpwstr/>
  </property>
  <property fmtid="{D5CDD505-2E9C-101B-9397-08002B2CF9AE}" pid="6" name="_dlc_DocIdItemGuid">
    <vt:lpwstr>cf278deb-02e4-4123-9814-dffb343a661d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dlc_DocIdUrl">
    <vt:lpwstr>https://jpnpwc-my.sharepoint.com/personal/keiichiro_kamiya_pwc_com/_layouts/15/DocIdRedir.aspx?ID=2EAHERP5SJHD-431277042-735, 2EAHERP5SJHD-431277042-735</vt:lpwstr>
  </property>
</Properties>
</file>